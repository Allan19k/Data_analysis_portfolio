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8_{28FFC75F-180D-4C02-BF63-CD001E52ABBF}" xr6:coauthVersionLast="47" xr6:coauthVersionMax="47" xr10:uidLastSave="{00000000-0000-0000-0000-000000000000}"/>
  <bookViews>
    <workbookView xWindow="-120" yWindow="-120" windowWidth="20730" windowHeight="11160" activeTab="1" xr2:uid="{6B85881E-09A7-4D8F-8F63-366B1AEFE579}"/>
  </bookViews>
  <sheets>
    <sheet name="CURSOS" sheetId="1" r:id="rId1"/>
    <sheet name="CALCULOS TABLA" sheetId="2" r:id="rId2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<sst xmlns="http://schemas.openxmlformats.org/spreadsheetml/2006/main" count="3642" uniqueCount="423">
  <si>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</si>
  <si>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</si>
  <si>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</si>
  <si>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</si>
  <si>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</si>
  <si>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</si>
  <si>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</si>
  <si>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</si>
  <si>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</si>
  <si>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</si>
  <si>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</si>
  <si>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</si>
  <si>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</si>
  <si>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</si>
  <si>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</si>
  <si>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</si>
  <si>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</si>
  <si>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</si>
  <si>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</si>
  <si>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</si>
  <si>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</si>
  <si>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</si>
  <si>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</si>
  <si>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</si>
  <si>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</si>
  <si>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</si>
  <si>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</si>
  <si>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</si>
  <si>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</si>
  <si>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</si>
  <si>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</si>
  <si>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</si>
  <si>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</si>
  <si>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</si>
  <si>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</si>
  <si>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</si>
  <si>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</si>
  <si>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</si>
  <si>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</si>
  <si>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</si>
  <si>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</si>
  <si>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</si>
  <si>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</si>
  <si>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</si>
  <si>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</si>
  <si>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</si>
  <si>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</si>
  <si>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</si>
  <si>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</si>
  <si>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</si>
  <si>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</si>
  <si>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</si>
  <si>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</si>
  <si>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</si>
  <si>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</si>
  <si>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</si>
  <si>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</si>
  <si>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</si>
  <si>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</si>
  <si>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</si>
  <si>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</si>
  <si>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</si>
  <si>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</si>
  <si>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</si>
  <si>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</si>
  <si>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</si>
  <si>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</si>
  <si>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</si>
  <si>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</si>
  <si>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</si>
  <si>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</si>
  <si>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</si>
  <si>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</si>
  <si>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</si>
  <si>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</si>
  <si>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</si>
  <si>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</si>
  <si>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</si>
  <si>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</si>
  <si>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</si>
  <si>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</si>
  <si>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</si>
  <si>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</si>
  <si>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</si>
  <si>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</si>
  <si>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</si>
  <si>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</si>
  <si>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</si>
  <si>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</si>
  <si>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</si>
  <si>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</si>
  <si>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</si>
  <si>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</si>
  <si>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</si>
  <si>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</si>
  <si>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</si>
  <si>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</si>
  <si>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</si>
  <si>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</si>
  <si>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</si>
  <si>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</si>
  <si>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</si>
  <si>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</si>
  <si>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</si>
  <si>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</si>
  <si>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</si>
  <si>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</si>
  <si>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</si>
  <si>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</si>
  <si>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</si>
  <si>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</si>
  <si>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</si>
  <si>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</si>
  <si>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</si>
  <si>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</si>
  <si>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</si>
  <si>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</si>
  <si>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</si>
  <si>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</si>
  <si>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</si>
  <si>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</si>
  <si>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</si>
  <si>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</si>
  <si>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</si>
  <si>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</si>
  <si>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</si>
  <si>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</si>
  <si>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</si>
  <si>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</si>
  <si>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</si>
  <si>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</si>
  <si>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</si>
  <si>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</si>
  <si>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</si>
  <si>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</si>
  <si>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</si>
  <si>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</si>
  <si>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</si>
  <si>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</si>
  <si>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</si>
  <si>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</si>
  <si>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</si>
  <si>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</si>
  <si>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</si>
  <si>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</si>
  <si>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</si>
  <si>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</si>
  <si>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</si>
  <si>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</si>
  <si>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</si>
  <si>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</si>
  <si>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</si>
  <si>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</si>
  <si>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</si>
  <si>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</si>
  <si>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</si>
  <si>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</si>
  <si>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</si>
  <si>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</si>
  <si>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</si>
  <si>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</si>
  <si>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</si>
  <si>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</si>
  <si>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</si>
  <si>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</si>
  <si>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</si>
  <si>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</si>
  <si>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</si>
  <si>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</si>
  <si>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</si>
  <si>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</si>
  <si>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</si>
  <si>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</si>
  <si>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</si>
  <si>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</si>
  <si>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</si>
  <si>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</si>
  <si>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</si>
  <si>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</si>
  <si>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</si>
  <si>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</si>
  <si>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</si>
  <si>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</si>
  <si>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</si>
  <si>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</si>
  <si>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</si>
  <si>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</si>
  <si>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</si>
  <si>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</si>
  <si>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</si>
  <si>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</si>
  <si>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</si>
  <si>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</si>
  <si>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</si>
  <si>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</si>
  <si>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</si>
  <si>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</si>
  <si>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</si>
  <si>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</si>
  <si>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</si>
  <si>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</si>
  <si>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</si>
  <si>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</si>
  <si>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</si>
  <si>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</si>
  <si>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</si>
  <si>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</si>
  <si>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</si>
  <si>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</si>
  <si>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</si>
  <si>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</si>
  <si>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</si>
  <si>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</si>
  <si>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</si>
  <si>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</si>
  <si>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</si>
  <si>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</si>
  <si>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</si>
  <si>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</si>
  <si>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</si>
  <si>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</si>
  <si>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</si>
  <si>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</si>
  <si>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</si>
  <si>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</si>
  <si>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</si>
  <si>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</si>
  <si>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</si>
  <si>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</si>
  <si>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</si>
  <si>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</si>
  <si>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</si>
  <si>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</si>
  <si>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</si>
  <si>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</si>
  <si>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</si>
  <si>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</si>
  <si>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</si>
  <si>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</si>
  <si>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</si>
  <si>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</si>
  <si>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</si>
  <si>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</si>
  <si>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</si>
  <si>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</si>
  <si>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</si>
  <si>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</si>
  <si>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</si>
  <si>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</si>
  <si>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</si>
  <si>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</si>
  <si>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</si>
  <si>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</si>
  <si>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</si>
  <si>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</si>
  <si>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</si>
  <si>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</si>
  <si>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</si>
  <si>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</si>
  <si>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</si>
  <si>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</si>
  <si>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</si>
  <si>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</si>
  <si>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</si>
  <si>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</si>
  <si>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</si>
  <si>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</si>
  <si>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</si>
  <si>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</si>
  <si>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</si>
  <si>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</si>
  <si>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</si>
  <si>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</si>
  <si>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</si>
  <si>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</si>
  <si>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</si>
  <si>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</si>
  <si>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</si>
  <si>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</si>
  <si>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</si>
  <si>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</si>
  <si>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</si>
  <si>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</si>
  <si>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</si>
  <si>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</si>
  <si>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</si>
  <si>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</si>
  <si>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</si>
  <si>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</si>
  <si>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</si>
  <si>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</si>
  <si>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</si>
  <si>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</si>
  <si>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</si>
  <si>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</si>
  <si>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</si>
  <si>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</si>
  <si>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</si>
  <si>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</si>
  <si>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</si>
  <si>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</si>
  <si>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</si>
  <si>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</si>
  <si>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</si>
  <si>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</si>
  <si>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</si>
  <si>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</si>
  <si>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</si>
  <si>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</si>
  <si>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</si>
  <si>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</si>
  <si>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</si>
  <si>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</si>
  <si>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</si>
  <si>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</si>
  <si>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</si>
  <si>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</si>
  <si>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</si>
  <si>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</si>
  <si>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</si>
  <si>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</si>
  <si>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</si>
  <si>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</si>
  <si>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</si>
  <si>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</si>
  <si>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</si>
  <si>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</si>
  <si>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</si>
  <si>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</si>
  <si>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</si>
  <si>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</si>
  <si>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</si>
  <si>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</si>
  <si>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</si>
  <si>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</si>
  <si>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</si>
  <si>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</si>
  <si>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</si>
  <si>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</si>
  <si>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</si>
  <si>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</si>
  <si>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</si>
  <si>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</si>
  <si>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</si>
  <si>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</si>
  <si>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</si>
  <si>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</si>
  <si>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</si>
  <si>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</si>
  <si>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</si>
  <si>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</si>
  <si>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</si>
  <si>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</si>
  <si>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</si>
  <si>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</si>
  <si>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</si>
  <si>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</si>
  <si>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</si>
  <si>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</si>
  <si>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</si>
  <si>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</si>
  <si>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</si>
  <si>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</si>
  <si>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</si>
  <si>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</si>
  <si>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</si>
  <si>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</si>
  <si>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</si>
  <si>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</si>
  <si>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</si>
  <si>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</si>
  <si>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</si>
  <si>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</si>
  <si>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</si>
  <si>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</si>
  <si>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</si>
  <si>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</si>
  <si>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</si>
  <si>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</si>
  <si>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</si>
  <si>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</si>
  <si>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</si>
  <si>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</si>
  <si>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</si>
  <si>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</si>
  <si>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</si>
  <si>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</si>
  <si>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</si>
  <si>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</si>
  <si>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</si>
  <si>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</si>
  <si>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</si>
  <si>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</si>
  <si>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</si>
  <si>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</si>
  <si>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</si>
  <si>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</si>
  <si>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</si>
  <si>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</si>
  <si>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</si>
  <si>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</si>
  <si>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</si>
  <si>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</si>
  <si>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</si>
  <si>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</si>
  <si>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</si>
  <si>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</si>
  <si>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</si>
  <si>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</si>
  <si>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</si>
  <si>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</si>
  <si>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</si>
  <si>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</si>
  <si>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</si>
  <si>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</si>
  <si>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</si>
  <si>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</si>
  <si>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</si>
  <si>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</si>
  <si>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</si>
  <si>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columna curso</t>
  </si>
  <si>
    <t>Contar el número de cursos con importe profesor menor de 500</t>
  </si>
  <si>
    <t>sumar las duraciones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</si>
</sst>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9" formatCode="_-* #,##0.00\ [$€-C0A]_-;\-* #,##0.00\ [$€-C0A]_-;_-* &quot;-&quot;??\ [$€-C0A]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5" xr3:uid="{FC299563-DCF4-4EB4-A9D0-C171AC525DD9}" name="PAGADO COMERCIAL" dataDxfId="7" totalsRowDxfId="6"/>
    <tableColumn id="16" xr3:uid="{4598094E-BE52-4D7D-8B6F-8FE099ED7736}" name="GASTO" dataDxfId="5" totalsRowDxfId="4">
      <calculatedColumnFormula>T_CURSOS[[#This Row],[IMPORTE PROFESOR]]+T_CURSOS[[#This Row],[IMPORTE COMERCIAL]]</calculatedColumnFormula>
    </tableColumn>
    <tableColumn id="17" xr3:uid="{C97F53C8-3DF5-4D9A-A2D1-4D9C9A0C6E06}" name="BENEFICIO" dataDxfId="3" totalsRowDxfId="2">
      <calculatedColumnFormula>T_CURSOS[[#This Row],[IMPORTE CLIENTE]]-T_CURSOS[[#This Row],[GASTO]]</calculatedColumnFormula>
    </tableColumn>
    <tableColumn id="18" xr3:uid="{475865E1-95A5-4FDC-82FE-898B8A93BEBA}" name="%BENEFICIO" dataDxfId="1" totalsRow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workbookViewId="0">
      <selection activeCell="R1" sqref="R1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8805-37C1-4DEA-BF6F-E642AC71167E}">
  <dimension ref="A1:B4"/>
  <sheetViews>
    <sheetView tabSelected="1" workbookViewId="0">
      <selection activeCell="B3" sqref="B3"/>
    </sheetView>
  </sheetViews>
  <sheetFormatPr baseColWidth="10" defaultRowHeight="12.75" x14ac:dyDescent="0.2"/>
  <cols>
    <col min="1" max="1" width="54.28515625" bestFit="1" customWidth="1"/>
    <col min="2" max="2" width="12.85546875" bestFit="1" customWidth="1"/>
  </cols>
  <sheetData>
    <row r="1" spans="1:2" x14ac:dyDescent="0.2">
      <c r="A1" s="8" t="s">
        <v>419</v>
      </c>
      <c r="B1" s="10">
        <f>SUM(T_CURSOS[IMPORTE PROFESOR],T_CURSOS[IMPORTE COMERCIAL])</f>
        <v>131949.65000000002</v>
      </c>
    </row>
    <row r="2" spans="1:2" x14ac:dyDescent="0.2">
      <c r="A2" s="8" t="s">
        <v>420</v>
      </c>
      <c r="B2" s="9">
        <f>COUNTA(T_CURSOS[CURSO])</f>
        <v>362</v>
      </c>
    </row>
    <row r="3" spans="1:2" x14ac:dyDescent="0.2">
      <c r="A3" s="8" t="s">
        <v>421</v>
      </c>
      <c r="B3" s="10">
        <f>COUNTIF(T_CURSOS[IMPORTE PROFESOR],"&lt;500")</f>
        <v>336</v>
      </c>
    </row>
    <row r="4" spans="1:2" x14ac:dyDescent="0.2">
      <c r="A4" s="8" t="s">
        <v>422</v>
      </c>
      <c r="B4" s="9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Allan Hall Solorio Martinez</cp:lastModifiedBy>
  <cp:revision/>
  <dcterms:created xsi:type="dcterms:W3CDTF">2021-11-02T17:30:04Z</dcterms:created>
  <dcterms:modified xsi:type="dcterms:W3CDTF">2025-07-29T23:33:40Z</dcterms:modified>
  <cp:category/>
  <cp:contentStatus/>
</cp:coreProperties>
</file>