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\Desktop\Portfolio (Data Analysis)\Excel Projects\Fundamentos_de_Excel\"/>
    </mc:Choice>
  </mc:AlternateContent>
  <xr:revisionPtr revIDLastSave="0" documentId="13_ncr:1_{25911BE7-658B-4632-A552-4CF7685E4765}" xr6:coauthVersionLast="47" xr6:coauthVersionMax="47" xr10:uidLastSave="{00000000-0000-0000-0000-000000000000}"/>
  <bookViews>
    <workbookView xWindow="-120" yWindow="-120" windowWidth="20730" windowHeight="11160" xr2:uid="{6B85881E-09A7-4D8F-8F63-366B1AEFE579}"/>
  </bookViews>
  <sheets>
    <sheet name="Hoja1" sheetId="3" r:id="rId1"/>
    <sheet name="CURSOS" sheetId="1" r:id="rId2"/>
    <sheet name="CALCULOS TABLA" sheetId="2" r:id="rId3"/>
  </sheets>
  <definedNames>
    <definedName name="_xlnm._FilterDatabase" localSheetId="1" hidden="1">CURSOS!$B$1:$N$363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B2" i="2"/>
  <c r="B1" i="2"/>
  <c r="Q338" i="1"/>
  <c r="R338" i="1" s="1"/>
  <c r="Q346" i="1"/>
  <c r="R346" i="1" s="1"/>
  <c r="Q354" i="1"/>
  <c r="R354" i="1" s="1"/>
  <c r="Q362" i="1"/>
  <c r="R362" i="1" s="1"/>
  <c r="P2" i="1"/>
  <c r="Q2" i="1" s="1"/>
  <c r="R2" i="1" s="1"/>
  <c r="P3" i="1"/>
  <c r="Q3" i="1" s="1"/>
  <c r="R3" i="1" s="1"/>
  <c r="P4" i="1"/>
  <c r="Q4" i="1" s="1"/>
  <c r="R4" i="1" s="1"/>
  <c r="P5" i="1"/>
  <c r="Q5" i="1" s="1"/>
  <c r="R5" i="1" s="1"/>
  <c r="P6" i="1"/>
  <c r="Q6" i="1" s="1"/>
  <c r="R6" i="1" s="1"/>
  <c r="P7" i="1"/>
  <c r="Q7" i="1" s="1"/>
  <c r="R7" i="1" s="1"/>
  <c r="P8" i="1"/>
  <c r="Q8" i="1" s="1"/>
  <c r="R8" i="1" s="1"/>
  <c r="P9" i="1"/>
  <c r="Q9" i="1" s="1"/>
  <c r="R9" i="1" s="1"/>
  <c r="P10" i="1"/>
  <c r="Q10" i="1" s="1"/>
  <c r="R10" i="1" s="1"/>
  <c r="P11" i="1"/>
  <c r="Q11" i="1" s="1"/>
  <c r="R11" i="1" s="1"/>
  <c r="P12" i="1"/>
  <c r="Q12" i="1" s="1"/>
  <c r="R12" i="1" s="1"/>
  <c r="P13" i="1"/>
  <c r="Q13" i="1" s="1"/>
  <c r="R13" i="1" s="1"/>
  <c r="P14" i="1"/>
  <c r="Q14" i="1" s="1"/>
  <c r="R14" i="1" s="1"/>
  <c r="P15" i="1"/>
  <c r="Q15" i="1" s="1"/>
  <c r="R15" i="1" s="1"/>
  <c r="P16" i="1"/>
  <c r="Q16" i="1" s="1"/>
  <c r="R16" i="1" s="1"/>
  <c r="P17" i="1"/>
  <c r="Q17" i="1" s="1"/>
  <c r="R17" i="1" s="1"/>
  <c r="P18" i="1"/>
  <c r="Q18" i="1" s="1"/>
  <c r="R18" i="1" s="1"/>
  <c r="P19" i="1"/>
  <c r="Q19" i="1" s="1"/>
  <c r="R19" i="1" s="1"/>
  <c r="P20" i="1"/>
  <c r="Q20" i="1" s="1"/>
  <c r="R20" i="1" s="1"/>
  <c r="P21" i="1"/>
  <c r="Q21" i="1" s="1"/>
  <c r="R21" i="1" s="1"/>
  <c r="P22" i="1"/>
  <c r="Q22" i="1" s="1"/>
  <c r="R22" i="1" s="1"/>
  <c r="P23" i="1"/>
  <c r="Q23" i="1" s="1"/>
  <c r="R23" i="1" s="1"/>
  <c r="P24" i="1"/>
  <c r="Q24" i="1" s="1"/>
  <c r="R24" i="1" s="1"/>
  <c r="P25" i="1"/>
  <c r="Q25" i="1" s="1"/>
  <c r="R25" i="1" s="1"/>
  <c r="P26" i="1"/>
  <c r="Q26" i="1" s="1"/>
  <c r="R26" i="1" s="1"/>
  <c r="P27" i="1"/>
  <c r="Q27" i="1" s="1"/>
  <c r="R27" i="1" s="1"/>
  <c r="P28" i="1"/>
  <c r="Q28" i="1" s="1"/>
  <c r="R28" i="1" s="1"/>
  <c r="P29" i="1"/>
  <c r="Q29" i="1" s="1"/>
  <c r="R29" i="1" s="1"/>
  <c r="P30" i="1"/>
  <c r="Q30" i="1" s="1"/>
  <c r="R30" i="1" s="1"/>
  <c r="P31" i="1"/>
  <c r="Q31" i="1" s="1"/>
  <c r="R31" i="1" s="1"/>
  <c r="P32" i="1"/>
  <c r="Q32" i="1" s="1"/>
  <c r="R32" i="1" s="1"/>
  <c r="P33" i="1"/>
  <c r="Q33" i="1" s="1"/>
  <c r="R33" i="1" s="1"/>
  <c r="P34" i="1"/>
  <c r="Q34" i="1" s="1"/>
  <c r="R34" i="1" s="1"/>
  <c r="P35" i="1"/>
  <c r="Q35" i="1" s="1"/>
  <c r="R35" i="1" s="1"/>
  <c r="P36" i="1"/>
  <c r="Q36" i="1" s="1"/>
  <c r="R36" i="1" s="1"/>
  <c r="P37" i="1"/>
  <c r="Q37" i="1" s="1"/>
  <c r="R37" i="1" s="1"/>
  <c r="P38" i="1"/>
  <c r="Q38" i="1" s="1"/>
  <c r="R38" i="1" s="1"/>
  <c r="P39" i="1"/>
  <c r="Q39" i="1" s="1"/>
  <c r="R39" i="1" s="1"/>
  <c r="P40" i="1"/>
  <c r="Q40" i="1" s="1"/>
  <c r="R40" i="1" s="1"/>
  <c r="P41" i="1"/>
  <c r="Q41" i="1" s="1"/>
  <c r="R41" i="1" s="1"/>
  <c r="P42" i="1"/>
  <c r="Q42" i="1" s="1"/>
  <c r="R42" i="1" s="1"/>
  <c r="P43" i="1"/>
  <c r="Q43" i="1" s="1"/>
  <c r="R43" i="1" s="1"/>
  <c r="P44" i="1"/>
  <c r="Q44" i="1" s="1"/>
  <c r="R44" i="1" s="1"/>
  <c r="P45" i="1"/>
  <c r="Q45" i="1" s="1"/>
  <c r="R45" i="1" s="1"/>
  <c r="P46" i="1"/>
  <c r="Q46" i="1" s="1"/>
  <c r="R46" i="1" s="1"/>
  <c r="P47" i="1"/>
  <c r="Q47" i="1" s="1"/>
  <c r="R47" i="1" s="1"/>
  <c r="P48" i="1"/>
  <c r="Q48" i="1" s="1"/>
  <c r="R48" i="1" s="1"/>
  <c r="P49" i="1"/>
  <c r="Q49" i="1" s="1"/>
  <c r="R49" i="1" s="1"/>
  <c r="P50" i="1"/>
  <c r="Q50" i="1" s="1"/>
  <c r="R50" i="1" s="1"/>
  <c r="P51" i="1"/>
  <c r="Q51" i="1" s="1"/>
  <c r="R51" i="1" s="1"/>
  <c r="P52" i="1"/>
  <c r="Q52" i="1" s="1"/>
  <c r="R52" i="1" s="1"/>
  <c r="P53" i="1"/>
  <c r="Q53" i="1" s="1"/>
  <c r="R53" i="1" s="1"/>
  <c r="P54" i="1"/>
  <c r="Q54" i="1" s="1"/>
  <c r="R54" i="1" s="1"/>
  <c r="P55" i="1"/>
  <c r="Q55" i="1" s="1"/>
  <c r="R55" i="1" s="1"/>
  <c r="P56" i="1"/>
  <c r="Q56" i="1" s="1"/>
  <c r="R56" i="1" s="1"/>
  <c r="P57" i="1"/>
  <c r="Q57" i="1" s="1"/>
  <c r="R57" i="1" s="1"/>
  <c r="P58" i="1"/>
  <c r="Q58" i="1" s="1"/>
  <c r="R58" i="1" s="1"/>
  <c r="P59" i="1"/>
  <c r="Q59" i="1" s="1"/>
  <c r="R59" i="1" s="1"/>
  <c r="P60" i="1"/>
  <c r="Q60" i="1" s="1"/>
  <c r="R60" i="1" s="1"/>
  <c r="P61" i="1"/>
  <c r="Q61" i="1" s="1"/>
  <c r="R61" i="1" s="1"/>
  <c r="P62" i="1"/>
  <c r="Q62" i="1" s="1"/>
  <c r="R62" i="1" s="1"/>
  <c r="P63" i="1"/>
  <c r="Q63" i="1" s="1"/>
  <c r="R63" i="1" s="1"/>
  <c r="P64" i="1"/>
  <c r="Q64" i="1" s="1"/>
  <c r="R64" i="1" s="1"/>
  <c r="P65" i="1"/>
  <c r="Q65" i="1" s="1"/>
  <c r="R65" i="1" s="1"/>
  <c r="P66" i="1"/>
  <c r="Q66" i="1" s="1"/>
  <c r="R66" i="1" s="1"/>
  <c r="P67" i="1"/>
  <c r="Q67" i="1" s="1"/>
  <c r="R67" i="1" s="1"/>
  <c r="P68" i="1"/>
  <c r="Q68" i="1" s="1"/>
  <c r="R68" i="1" s="1"/>
  <c r="P69" i="1"/>
  <c r="Q69" i="1" s="1"/>
  <c r="R69" i="1" s="1"/>
  <c r="P70" i="1"/>
  <c r="Q70" i="1" s="1"/>
  <c r="R70" i="1" s="1"/>
  <c r="P71" i="1"/>
  <c r="Q71" i="1" s="1"/>
  <c r="R71" i="1" s="1"/>
  <c r="P72" i="1"/>
  <c r="Q72" i="1" s="1"/>
  <c r="R72" i="1" s="1"/>
  <c r="P73" i="1"/>
  <c r="Q73" i="1" s="1"/>
  <c r="R73" i="1" s="1"/>
  <c r="P74" i="1"/>
  <c r="Q74" i="1" s="1"/>
  <c r="R74" i="1" s="1"/>
  <c r="P75" i="1"/>
  <c r="Q75" i="1" s="1"/>
  <c r="R75" i="1" s="1"/>
  <c r="P76" i="1"/>
  <c r="Q76" i="1" s="1"/>
  <c r="R76" i="1" s="1"/>
  <c r="P77" i="1"/>
  <c r="Q77" i="1" s="1"/>
  <c r="R77" i="1" s="1"/>
  <c r="P78" i="1"/>
  <c r="Q78" i="1" s="1"/>
  <c r="R78" i="1" s="1"/>
  <c r="P79" i="1"/>
  <c r="Q79" i="1" s="1"/>
  <c r="R79" i="1" s="1"/>
  <c r="P80" i="1"/>
  <c r="Q80" i="1" s="1"/>
  <c r="R80" i="1" s="1"/>
  <c r="P81" i="1"/>
  <c r="Q81" i="1" s="1"/>
  <c r="R81" i="1" s="1"/>
  <c r="P82" i="1"/>
  <c r="Q82" i="1" s="1"/>
  <c r="R82" i="1" s="1"/>
  <c r="P83" i="1"/>
  <c r="Q83" i="1" s="1"/>
  <c r="R83" i="1" s="1"/>
  <c r="P84" i="1"/>
  <c r="Q84" i="1" s="1"/>
  <c r="R84" i="1" s="1"/>
  <c r="P85" i="1"/>
  <c r="Q85" i="1" s="1"/>
  <c r="R85" i="1" s="1"/>
  <c r="P86" i="1"/>
  <c r="Q86" i="1" s="1"/>
  <c r="R86" i="1" s="1"/>
  <c r="P87" i="1"/>
  <c r="Q87" i="1" s="1"/>
  <c r="R87" i="1" s="1"/>
  <c r="P88" i="1"/>
  <c r="Q88" i="1" s="1"/>
  <c r="R88" i="1" s="1"/>
  <c r="P89" i="1"/>
  <c r="Q89" i="1" s="1"/>
  <c r="R89" i="1" s="1"/>
  <c r="P90" i="1"/>
  <c r="Q90" i="1" s="1"/>
  <c r="R90" i="1" s="1"/>
  <c r="P91" i="1"/>
  <c r="Q91" i="1" s="1"/>
  <c r="R91" i="1" s="1"/>
  <c r="P92" i="1"/>
  <c r="Q92" i="1" s="1"/>
  <c r="R92" i="1" s="1"/>
  <c r="P93" i="1"/>
  <c r="Q93" i="1" s="1"/>
  <c r="R93" i="1" s="1"/>
  <c r="P94" i="1"/>
  <c r="Q94" i="1" s="1"/>
  <c r="R94" i="1" s="1"/>
  <c r="P95" i="1"/>
  <c r="Q95" i="1" s="1"/>
  <c r="R95" i="1" s="1"/>
  <c r="P96" i="1"/>
  <c r="Q96" i="1" s="1"/>
  <c r="R96" i="1" s="1"/>
  <c r="P97" i="1"/>
  <c r="Q97" i="1" s="1"/>
  <c r="R97" i="1" s="1"/>
  <c r="P98" i="1"/>
  <c r="Q98" i="1" s="1"/>
  <c r="R98" i="1" s="1"/>
  <c r="P99" i="1"/>
  <c r="Q99" i="1" s="1"/>
  <c r="R99" i="1" s="1"/>
  <c r="P100" i="1"/>
  <c r="Q100" i="1" s="1"/>
  <c r="R100" i="1" s="1"/>
  <c r="P101" i="1"/>
  <c r="Q101" i="1" s="1"/>
  <c r="R101" i="1" s="1"/>
  <c r="P102" i="1"/>
  <c r="Q102" i="1" s="1"/>
  <c r="R102" i="1" s="1"/>
  <c r="P103" i="1"/>
  <c r="Q103" i="1" s="1"/>
  <c r="R103" i="1" s="1"/>
  <c r="P104" i="1"/>
  <c r="Q104" i="1" s="1"/>
  <c r="R104" i="1" s="1"/>
  <c r="P105" i="1"/>
  <c r="Q105" i="1" s="1"/>
  <c r="R105" i="1" s="1"/>
  <c r="P106" i="1"/>
  <c r="Q106" i="1" s="1"/>
  <c r="R106" i="1" s="1"/>
  <c r="P107" i="1"/>
  <c r="Q107" i="1" s="1"/>
  <c r="R107" i="1" s="1"/>
  <c r="P108" i="1"/>
  <c r="Q108" i="1" s="1"/>
  <c r="R108" i="1" s="1"/>
  <c r="P109" i="1"/>
  <c r="Q109" i="1" s="1"/>
  <c r="R109" i="1" s="1"/>
  <c r="P110" i="1"/>
  <c r="Q110" i="1" s="1"/>
  <c r="R110" i="1" s="1"/>
  <c r="P111" i="1"/>
  <c r="Q111" i="1" s="1"/>
  <c r="R111" i="1" s="1"/>
  <c r="P112" i="1"/>
  <c r="Q112" i="1" s="1"/>
  <c r="R112" i="1" s="1"/>
  <c r="P113" i="1"/>
  <c r="Q113" i="1" s="1"/>
  <c r="R113" i="1" s="1"/>
  <c r="P114" i="1"/>
  <c r="Q114" i="1" s="1"/>
  <c r="R114" i="1" s="1"/>
  <c r="P115" i="1"/>
  <c r="Q115" i="1" s="1"/>
  <c r="R115" i="1" s="1"/>
  <c r="P116" i="1"/>
  <c r="Q116" i="1" s="1"/>
  <c r="R116" i="1" s="1"/>
  <c r="P117" i="1"/>
  <c r="Q117" i="1" s="1"/>
  <c r="R117" i="1" s="1"/>
  <c r="P118" i="1"/>
  <c r="Q118" i="1" s="1"/>
  <c r="R118" i="1" s="1"/>
  <c r="P119" i="1"/>
  <c r="Q119" i="1" s="1"/>
  <c r="R119" i="1" s="1"/>
  <c r="P120" i="1"/>
  <c r="Q120" i="1" s="1"/>
  <c r="R120" i="1" s="1"/>
  <c r="P121" i="1"/>
  <c r="Q121" i="1" s="1"/>
  <c r="R121" i="1" s="1"/>
  <c r="P122" i="1"/>
  <c r="Q122" i="1" s="1"/>
  <c r="R122" i="1" s="1"/>
  <c r="P123" i="1"/>
  <c r="Q123" i="1" s="1"/>
  <c r="R123" i="1" s="1"/>
  <c r="P124" i="1"/>
  <c r="Q124" i="1" s="1"/>
  <c r="R124" i="1" s="1"/>
  <c r="P125" i="1"/>
  <c r="Q125" i="1" s="1"/>
  <c r="R125" i="1" s="1"/>
  <c r="P126" i="1"/>
  <c r="Q126" i="1" s="1"/>
  <c r="R126" i="1" s="1"/>
  <c r="P127" i="1"/>
  <c r="Q127" i="1" s="1"/>
  <c r="R127" i="1" s="1"/>
  <c r="P128" i="1"/>
  <c r="Q128" i="1" s="1"/>
  <c r="R128" i="1" s="1"/>
  <c r="P129" i="1"/>
  <c r="Q129" i="1" s="1"/>
  <c r="R129" i="1" s="1"/>
  <c r="P130" i="1"/>
  <c r="Q130" i="1" s="1"/>
  <c r="R130" i="1" s="1"/>
  <c r="P131" i="1"/>
  <c r="Q131" i="1" s="1"/>
  <c r="R131" i="1" s="1"/>
  <c r="P132" i="1"/>
  <c r="Q132" i="1" s="1"/>
  <c r="R132" i="1" s="1"/>
  <c r="P133" i="1"/>
  <c r="Q133" i="1" s="1"/>
  <c r="R133" i="1" s="1"/>
  <c r="P134" i="1"/>
  <c r="Q134" i="1" s="1"/>
  <c r="R134" i="1" s="1"/>
  <c r="P135" i="1"/>
  <c r="Q135" i="1" s="1"/>
  <c r="R135" i="1" s="1"/>
  <c r="P136" i="1"/>
  <c r="Q136" i="1" s="1"/>
  <c r="R136" i="1" s="1"/>
  <c r="P137" i="1"/>
  <c r="Q137" i="1" s="1"/>
  <c r="R137" i="1" s="1"/>
  <c r="P138" i="1"/>
  <c r="Q138" i="1" s="1"/>
  <c r="R138" i="1" s="1"/>
  <c r="P139" i="1"/>
  <c r="Q139" i="1" s="1"/>
  <c r="R139" i="1" s="1"/>
  <c r="P140" i="1"/>
  <c r="Q140" i="1" s="1"/>
  <c r="R140" i="1" s="1"/>
  <c r="P141" i="1"/>
  <c r="Q141" i="1" s="1"/>
  <c r="R141" i="1" s="1"/>
  <c r="P142" i="1"/>
  <c r="Q142" i="1" s="1"/>
  <c r="R142" i="1" s="1"/>
  <c r="P143" i="1"/>
  <c r="Q143" i="1" s="1"/>
  <c r="R143" i="1" s="1"/>
  <c r="P144" i="1"/>
  <c r="Q144" i="1" s="1"/>
  <c r="R144" i="1" s="1"/>
  <c r="P145" i="1"/>
  <c r="Q145" i="1" s="1"/>
  <c r="R145" i="1" s="1"/>
  <c r="P146" i="1"/>
  <c r="Q146" i="1" s="1"/>
  <c r="R146" i="1" s="1"/>
  <c r="P147" i="1"/>
  <c r="Q147" i="1" s="1"/>
  <c r="R147" i="1" s="1"/>
  <c r="P148" i="1"/>
  <c r="Q148" i="1" s="1"/>
  <c r="R148" i="1" s="1"/>
  <c r="P149" i="1"/>
  <c r="Q149" i="1" s="1"/>
  <c r="R149" i="1" s="1"/>
  <c r="P150" i="1"/>
  <c r="Q150" i="1" s="1"/>
  <c r="R150" i="1" s="1"/>
  <c r="P151" i="1"/>
  <c r="Q151" i="1" s="1"/>
  <c r="R151" i="1" s="1"/>
  <c r="P152" i="1"/>
  <c r="Q152" i="1" s="1"/>
  <c r="R152" i="1" s="1"/>
  <c r="P153" i="1"/>
  <c r="Q153" i="1" s="1"/>
  <c r="R153" i="1" s="1"/>
  <c r="P154" i="1"/>
  <c r="Q154" i="1" s="1"/>
  <c r="R154" i="1" s="1"/>
  <c r="P155" i="1"/>
  <c r="Q155" i="1" s="1"/>
  <c r="R155" i="1" s="1"/>
  <c r="P156" i="1"/>
  <c r="Q156" i="1" s="1"/>
  <c r="R156" i="1" s="1"/>
  <c r="P157" i="1"/>
  <c r="Q157" i="1" s="1"/>
  <c r="R157" i="1" s="1"/>
  <c r="P158" i="1"/>
  <c r="Q158" i="1" s="1"/>
  <c r="R158" i="1" s="1"/>
  <c r="P159" i="1"/>
  <c r="Q159" i="1" s="1"/>
  <c r="R159" i="1" s="1"/>
  <c r="P160" i="1"/>
  <c r="Q160" i="1" s="1"/>
  <c r="R160" i="1" s="1"/>
  <c r="P161" i="1"/>
  <c r="Q161" i="1" s="1"/>
  <c r="R161" i="1" s="1"/>
  <c r="P162" i="1"/>
  <c r="Q162" i="1" s="1"/>
  <c r="R162" i="1" s="1"/>
  <c r="P163" i="1"/>
  <c r="Q163" i="1" s="1"/>
  <c r="R163" i="1" s="1"/>
  <c r="P164" i="1"/>
  <c r="Q164" i="1" s="1"/>
  <c r="R164" i="1" s="1"/>
  <c r="P165" i="1"/>
  <c r="Q165" i="1" s="1"/>
  <c r="R165" i="1" s="1"/>
  <c r="P166" i="1"/>
  <c r="Q166" i="1" s="1"/>
  <c r="R166" i="1" s="1"/>
  <c r="P167" i="1"/>
  <c r="Q167" i="1" s="1"/>
  <c r="R167" i="1" s="1"/>
  <c r="P168" i="1"/>
  <c r="Q168" i="1" s="1"/>
  <c r="R168" i="1" s="1"/>
  <c r="P169" i="1"/>
  <c r="Q169" i="1" s="1"/>
  <c r="R169" i="1" s="1"/>
  <c r="P170" i="1"/>
  <c r="Q170" i="1" s="1"/>
  <c r="R170" i="1" s="1"/>
  <c r="P171" i="1"/>
  <c r="Q171" i="1" s="1"/>
  <c r="R171" i="1" s="1"/>
  <c r="P172" i="1"/>
  <c r="Q172" i="1" s="1"/>
  <c r="R172" i="1" s="1"/>
  <c r="P173" i="1"/>
  <c r="Q173" i="1" s="1"/>
  <c r="R173" i="1" s="1"/>
  <c r="P174" i="1"/>
  <c r="Q174" i="1" s="1"/>
  <c r="R174" i="1" s="1"/>
  <c r="P175" i="1"/>
  <c r="Q175" i="1" s="1"/>
  <c r="R175" i="1" s="1"/>
  <c r="P176" i="1"/>
  <c r="Q176" i="1" s="1"/>
  <c r="R176" i="1" s="1"/>
  <c r="P177" i="1"/>
  <c r="Q177" i="1" s="1"/>
  <c r="R177" i="1" s="1"/>
  <c r="P178" i="1"/>
  <c r="Q178" i="1" s="1"/>
  <c r="R178" i="1" s="1"/>
  <c r="P179" i="1"/>
  <c r="Q179" i="1" s="1"/>
  <c r="R179" i="1" s="1"/>
  <c r="P180" i="1"/>
  <c r="Q180" i="1" s="1"/>
  <c r="R180" i="1" s="1"/>
  <c r="P181" i="1"/>
  <c r="Q181" i="1" s="1"/>
  <c r="R181" i="1" s="1"/>
  <c r="P182" i="1"/>
  <c r="Q182" i="1" s="1"/>
  <c r="R182" i="1" s="1"/>
  <c r="P183" i="1"/>
  <c r="Q183" i="1" s="1"/>
  <c r="R183" i="1" s="1"/>
  <c r="P184" i="1"/>
  <c r="Q184" i="1" s="1"/>
  <c r="R184" i="1" s="1"/>
  <c r="P185" i="1"/>
  <c r="Q185" i="1" s="1"/>
  <c r="R185" i="1" s="1"/>
  <c r="P186" i="1"/>
  <c r="Q186" i="1" s="1"/>
  <c r="R186" i="1" s="1"/>
  <c r="P187" i="1"/>
  <c r="Q187" i="1" s="1"/>
  <c r="R187" i="1" s="1"/>
  <c r="P188" i="1"/>
  <c r="Q188" i="1" s="1"/>
  <c r="R188" i="1" s="1"/>
  <c r="P189" i="1"/>
  <c r="Q189" i="1" s="1"/>
  <c r="R189" i="1" s="1"/>
  <c r="P190" i="1"/>
  <c r="Q190" i="1" s="1"/>
  <c r="R190" i="1" s="1"/>
  <c r="P191" i="1"/>
  <c r="Q191" i="1" s="1"/>
  <c r="R191" i="1" s="1"/>
  <c r="P192" i="1"/>
  <c r="Q192" i="1" s="1"/>
  <c r="R192" i="1" s="1"/>
  <c r="P193" i="1"/>
  <c r="Q193" i="1" s="1"/>
  <c r="R193" i="1" s="1"/>
  <c r="P194" i="1"/>
  <c r="Q194" i="1" s="1"/>
  <c r="R194" i="1" s="1"/>
  <c r="P195" i="1"/>
  <c r="Q195" i="1" s="1"/>
  <c r="R195" i="1" s="1"/>
  <c r="P196" i="1"/>
  <c r="Q196" i="1" s="1"/>
  <c r="R196" i="1" s="1"/>
  <c r="P197" i="1"/>
  <c r="Q197" i="1" s="1"/>
  <c r="R197" i="1" s="1"/>
  <c r="P198" i="1"/>
  <c r="Q198" i="1" s="1"/>
  <c r="R198" i="1" s="1"/>
  <c r="P199" i="1"/>
  <c r="Q199" i="1" s="1"/>
  <c r="R199" i="1" s="1"/>
  <c r="P200" i="1"/>
  <c r="Q200" i="1" s="1"/>
  <c r="R200" i="1" s="1"/>
  <c r="P201" i="1"/>
  <c r="Q201" i="1" s="1"/>
  <c r="R201" i="1" s="1"/>
  <c r="P202" i="1"/>
  <c r="Q202" i="1" s="1"/>
  <c r="R202" i="1" s="1"/>
  <c r="P203" i="1"/>
  <c r="Q203" i="1" s="1"/>
  <c r="R203" i="1" s="1"/>
  <c r="P204" i="1"/>
  <c r="Q204" i="1" s="1"/>
  <c r="R204" i="1" s="1"/>
  <c r="P205" i="1"/>
  <c r="Q205" i="1" s="1"/>
  <c r="R205" i="1" s="1"/>
  <c r="P206" i="1"/>
  <c r="Q206" i="1" s="1"/>
  <c r="R206" i="1" s="1"/>
  <c r="P207" i="1"/>
  <c r="Q207" i="1" s="1"/>
  <c r="R207" i="1" s="1"/>
  <c r="P208" i="1"/>
  <c r="Q208" i="1" s="1"/>
  <c r="R208" i="1" s="1"/>
  <c r="P209" i="1"/>
  <c r="Q209" i="1" s="1"/>
  <c r="R209" i="1" s="1"/>
  <c r="P210" i="1"/>
  <c r="Q210" i="1" s="1"/>
  <c r="R210" i="1" s="1"/>
  <c r="P211" i="1"/>
  <c r="Q211" i="1" s="1"/>
  <c r="R211" i="1" s="1"/>
  <c r="P212" i="1"/>
  <c r="Q212" i="1" s="1"/>
  <c r="R212" i="1" s="1"/>
  <c r="P213" i="1"/>
  <c r="Q213" i="1" s="1"/>
  <c r="R213" i="1" s="1"/>
  <c r="P214" i="1"/>
  <c r="Q214" i="1" s="1"/>
  <c r="R214" i="1" s="1"/>
  <c r="P215" i="1"/>
  <c r="Q215" i="1" s="1"/>
  <c r="R215" i="1" s="1"/>
  <c r="P216" i="1"/>
  <c r="Q216" i="1" s="1"/>
  <c r="R216" i="1" s="1"/>
  <c r="P217" i="1"/>
  <c r="Q217" i="1" s="1"/>
  <c r="R217" i="1" s="1"/>
  <c r="P218" i="1"/>
  <c r="Q218" i="1" s="1"/>
  <c r="R218" i="1" s="1"/>
  <c r="P219" i="1"/>
  <c r="Q219" i="1" s="1"/>
  <c r="R219" i="1" s="1"/>
  <c r="P220" i="1"/>
  <c r="Q220" i="1" s="1"/>
  <c r="R220" i="1" s="1"/>
  <c r="P221" i="1"/>
  <c r="Q221" i="1" s="1"/>
  <c r="R221" i="1" s="1"/>
  <c r="P222" i="1"/>
  <c r="Q222" i="1" s="1"/>
  <c r="R222" i="1" s="1"/>
  <c r="P223" i="1"/>
  <c r="Q223" i="1" s="1"/>
  <c r="R223" i="1" s="1"/>
  <c r="P224" i="1"/>
  <c r="Q224" i="1" s="1"/>
  <c r="R224" i="1" s="1"/>
  <c r="P225" i="1"/>
  <c r="Q225" i="1" s="1"/>
  <c r="R225" i="1" s="1"/>
  <c r="P226" i="1"/>
  <c r="Q226" i="1" s="1"/>
  <c r="R226" i="1" s="1"/>
  <c r="P227" i="1"/>
  <c r="Q227" i="1" s="1"/>
  <c r="R227" i="1" s="1"/>
  <c r="P228" i="1"/>
  <c r="Q228" i="1" s="1"/>
  <c r="R228" i="1" s="1"/>
  <c r="P229" i="1"/>
  <c r="Q229" i="1" s="1"/>
  <c r="R229" i="1" s="1"/>
  <c r="P230" i="1"/>
  <c r="Q230" i="1" s="1"/>
  <c r="R230" i="1" s="1"/>
  <c r="P231" i="1"/>
  <c r="Q231" i="1" s="1"/>
  <c r="R231" i="1" s="1"/>
  <c r="P232" i="1"/>
  <c r="Q232" i="1" s="1"/>
  <c r="R232" i="1" s="1"/>
  <c r="P233" i="1"/>
  <c r="Q233" i="1" s="1"/>
  <c r="R233" i="1" s="1"/>
  <c r="P234" i="1"/>
  <c r="Q234" i="1" s="1"/>
  <c r="R234" i="1" s="1"/>
  <c r="P235" i="1"/>
  <c r="Q235" i="1" s="1"/>
  <c r="R235" i="1" s="1"/>
  <c r="P236" i="1"/>
  <c r="Q236" i="1" s="1"/>
  <c r="R236" i="1" s="1"/>
  <c r="P237" i="1"/>
  <c r="Q237" i="1" s="1"/>
  <c r="R237" i="1" s="1"/>
  <c r="P238" i="1"/>
  <c r="Q238" i="1" s="1"/>
  <c r="R238" i="1" s="1"/>
  <c r="P239" i="1"/>
  <c r="Q239" i="1" s="1"/>
  <c r="R239" i="1" s="1"/>
  <c r="P240" i="1"/>
  <c r="Q240" i="1" s="1"/>
  <c r="R240" i="1" s="1"/>
  <c r="P241" i="1"/>
  <c r="Q241" i="1" s="1"/>
  <c r="R241" i="1" s="1"/>
  <c r="P242" i="1"/>
  <c r="Q242" i="1" s="1"/>
  <c r="R242" i="1" s="1"/>
  <c r="P243" i="1"/>
  <c r="Q243" i="1" s="1"/>
  <c r="R243" i="1" s="1"/>
  <c r="P244" i="1"/>
  <c r="Q244" i="1" s="1"/>
  <c r="R244" i="1" s="1"/>
  <c r="P245" i="1"/>
  <c r="Q245" i="1" s="1"/>
  <c r="R245" i="1" s="1"/>
  <c r="P246" i="1"/>
  <c r="Q246" i="1" s="1"/>
  <c r="R246" i="1" s="1"/>
  <c r="P247" i="1"/>
  <c r="Q247" i="1" s="1"/>
  <c r="R247" i="1" s="1"/>
  <c r="P248" i="1"/>
  <c r="Q248" i="1" s="1"/>
  <c r="R248" i="1" s="1"/>
  <c r="P249" i="1"/>
  <c r="Q249" i="1" s="1"/>
  <c r="R249" i="1" s="1"/>
  <c r="P250" i="1"/>
  <c r="Q250" i="1" s="1"/>
  <c r="R250" i="1" s="1"/>
  <c r="P251" i="1"/>
  <c r="Q251" i="1" s="1"/>
  <c r="R251" i="1" s="1"/>
  <c r="P252" i="1"/>
  <c r="Q252" i="1" s="1"/>
  <c r="R252" i="1" s="1"/>
  <c r="P253" i="1"/>
  <c r="Q253" i="1" s="1"/>
  <c r="R253" i="1" s="1"/>
  <c r="P254" i="1"/>
  <c r="Q254" i="1" s="1"/>
  <c r="R254" i="1" s="1"/>
  <c r="P255" i="1"/>
  <c r="Q255" i="1" s="1"/>
  <c r="R255" i="1" s="1"/>
  <c r="P256" i="1"/>
  <c r="Q256" i="1" s="1"/>
  <c r="R256" i="1" s="1"/>
  <c r="P257" i="1"/>
  <c r="Q257" i="1" s="1"/>
  <c r="R257" i="1" s="1"/>
  <c r="P258" i="1"/>
  <c r="Q258" i="1" s="1"/>
  <c r="R258" i="1" s="1"/>
  <c r="P259" i="1"/>
  <c r="Q259" i="1" s="1"/>
  <c r="R259" i="1" s="1"/>
  <c r="P260" i="1"/>
  <c r="Q260" i="1" s="1"/>
  <c r="R260" i="1" s="1"/>
  <c r="P261" i="1"/>
  <c r="Q261" i="1" s="1"/>
  <c r="R261" i="1" s="1"/>
  <c r="P262" i="1"/>
  <c r="Q262" i="1" s="1"/>
  <c r="R262" i="1" s="1"/>
  <c r="P263" i="1"/>
  <c r="Q263" i="1" s="1"/>
  <c r="R263" i="1" s="1"/>
  <c r="P264" i="1"/>
  <c r="Q264" i="1" s="1"/>
  <c r="R264" i="1" s="1"/>
  <c r="P265" i="1"/>
  <c r="Q265" i="1" s="1"/>
  <c r="R265" i="1" s="1"/>
  <c r="P266" i="1"/>
  <c r="Q266" i="1" s="1"/>
  <c r="R266" i="1" s="1"/>
  <c r="P267" i="1"/>
  <c r="Q267" i="1" s="1"/>
  <c r="R267" i="1" s="1"/>
  <c r="P268" i="1"/>
  <c r="Q268" i="1" s="1"/>
  <c r="R268" i="1" s="1"/>
  <c r="P269" i="1"/>
  <c r="Q269" i="1" s="1"/>
  <c r="R269" i="1" s="1"/>
  <c r="P270" i="1"/>
  <c r="Q270" i="1" s="1"/>
  <c r="R270" i="1" s="1"/>
  <c r="P271" i="1"/>
  <c r="Q271" i="1" s="1"/>
  <c r="R271" i="1" s="1"/>
  <c r="P272" i="1"/>
  <c r="Q272" i="1" s="1"/>
  <c r="R272" i="1" s="1"/>
  <c r="P273" i="1"/>
  <c r="Q273" i="1" s="1"/>
  <c r="R273" i="1" s="1"/>
  <c r="P274" i="1"/>
  <c r="Q274" i="1" s="1"/>
  <c r="R274" i="1" s="1"/>
  <c r="P275" i="1"/>
  <c r="Q275" i="1" s="1"/>
  <c r="R275" i="1" s="1"/>
  <c r="P276" i="1"/>
  <c r="Q276" i="1" s="1"/>
  <c r="R276" i="1" s="1"/>
  <c r="P277" i="1"/>
  <c r="Q277" i="1" s="1"/>
  <c r="R277" i="1" s="1"/>
  <c r="P278" i="1"/>
  <c r="Q278" i="1" s="1"/>
  <c r="R278" i="1" s="1"/>
  <c r="P279" i="1"/>
  <c r="Q279" i="1" s="1"/>
  <c r="R279" i="1" s="1"/>
  <c r="P280" i="1"/>
  <c r="Q280" i="1" s="1"/>
  <c r="R280" i="1" s="1"/>
  <c r="P281" i="1"/>
  <c r="Q281" i="1" s="1"/>
  <c r="R281" i="1" s="1"/>
  <c r="P282" i="1"/>
  <c r="Q282" i="1" s="1"/>
  <c r="R282" i="1" s="1"/>
  <c r="P283" i="1"/>
  <c r="Q283" i="1" s="1"/>
  <c r="R283" i="1" s="1"/>
  <c r="P284" i="1"/>
  <c r="Q284" i="1" s="1"/>
  <c r="R284" i="1" s="1"/>
  <c r="P285" i="1"/>
  <c r="Q285" i="1" s="1"/>
  <c r="R285" i="1" s="1"/>
  <c r="P286" i="1"/>
  <c r="Q286" i="1" s="1"/>
  <c r="R286" i="1" s="1"/>
  <c r="P287" i="1"/>
  <c r="Q287" i="1" s="1"/>
  <c r="R287" i="1" s="1"/>
  <c r="P288" i="1"/>
  <c r="Q288" i="1" s="1"/>
  <c r="R288" i="1" s="1"/>
  <c r="P289" i="1"/>
  <c r="Q289" i="1" s="1"/>
  <c r="R289" i="1" s="1"/>
  <c r="P290" i="1"/>
  <c r="Q290" i="1" s="1"/>
  <c r="R290" i="1" s="1"/>
  <c r="P291" i="1"/>
  <c r="Q291" i="1" s="1"/>
  <c r="R291" i="1" s="1"/>
  <c r="P292" i="1"/>
  <c r="Q292" i="1" s="1"/>
  <c r="R292" i="1" s="1"/>
  <c r="P293" i="1"/>
  <c r="Q293" i="1" s="1"/>
  <c r="R293" i="1" s="1"/>
  <c r="P294" i="1"/>
  <c r="Q294" i="1" s="1"/>
  <c r="R294" i="1" s="1"/>
  <c r="P295" i="1"/>
  <c r="Q295" i="1" s="1"/>
  <c r="R295" i="1" s="1"/>
  <c r="P296" i="1"/>
  <c r="Q296" i="1" s="1"/>
  <c r="R296" i="1" s="1"/>
  <c r="P297" i="1"/>
  <c r="Q297" i="1" s="1"/>
  <c r="R297" i="1" s="1"/>
  <c r="P298" i="1"/>
  <c r="Q298" i="1" s="1"/>
  <c r="R298" i="1" s="1"/>
  <c r="P299" i="1"/>
  <c r="Q299" i="1" s="1"/>
  <c r="R299" i="1" s="1"/>
  <c r="P300" i="1"/>
  <c r="Q300" i="1" s="1"/>
  <c r="R300" i="1" s="1"/>
  <c r="P301" i="1"/>
  <c r="Q301" i="1" s="1"/>
  <c r="R301" i="1" s="1"/>
  <c r="P302" i="1"/>
  <c r="Q302" i="1" s="1"/>
  <c r="R302" i="1" s="1"/>
  <c r="P303" i="1"/>
  <c r="Q303" i="1" s="1"/>
  <c r="R303" i="1" s="1"/>
  <c r="P304" i="1"/>
  <c r="Q304" i="1" s="1"/>
  <c r="R304" i="1" s="1"/>
  <c r="P305" i="1"/>
  <c r="Q305" i="1" s="1"/>
  <c r="R305" i="1" s="1"/>
  <c r="P306" i="1"/>
  <c r="Q306" i="1" s="1"/>
  <c r="R306" i="1" s="1"/>
  <c r="P307" i="1"/>
  <c r="Q307" i="1" s="1"/>
  <c r="R307" i="1" s="1"/>
  <c r="P308" i="1"/>
  <c r="Q308" i="1" s="1"/>
  <c r="R308" i="1" s="1"/>
  <c r="P309" i="1"/>
  <c r="Q309" i="1" s="1"/>
  <c r="R309" i="1" s="1"/>
  <c r="P310" i="1"/>
  <c r="Q310" i="1" s="1"/>
  <c r="R310" i="1" s="1"/>
  <c r="P311" i="1"/>
  <c r="Q311" i="1" s="1"/>
  <c r="R311" i="1" s="1"/>
  <c r="P312" i="1"/>
  <c r="Q312" i="1" s="1"/>
  <c r="R312" i="1" s="1"/>
  <c r="P313" i="1"/>
  <c r="Q313" i="1" s="1"/>
  <c r="R313" i="1" s="1"/>
  <c r="P314" i="1"/>
  <c r="Q314" i="1" s="1"/>
  <c r="R314" i="1" s="1"/>
  <c r="P315" i="1"/>
  <c r="Q315" i="1" s="1"/>
  <c r="R315" i="1" s="1"/>
  <c r="P316" i="1"/>
  <c r="Q316" i="1" s="1"/>
  <c r="R316" i="1" s="1"/>
  <c r="P317" i="1"/>
  <c r="Q317" i="1" s="1"/>
  <c r="R317" i="1" s="1"/>
  <c r="P318" i="1"/>
  <c r="Q318" i="1" s="1"/>
  <c r="R318" i="1" s="1"/>
  <c r="P319" i="1"/>
  <c r="Q319" i="1" s="1"/>
  <c r="R319" i="1" s="1"/>
  <c r="P320" i="1"/>
  <c r="Q320" i="1" s="1"/>
  <c r="R320" i="1" s="1"/>
  <c r="P321" i="1"/>
  <c r="Q321" i="1" s="1"/>
  <c r="R321" i="1" s="1"/>
  <c r="P322" i="1"/>
  <c r="Q322" i="1" s="1"/>
  <c r="R322" i="1" s="1"/>
  <c r="P323" i="1"/>
  <c r="Q323" i="1" s="1"/>
  <c r="R323" i="1" s="1"/>
  <c r="P324" i="1"/>
  <c r="Q324" i="1" s="1"/>
  <c r="R324" i="1" s="1"/>
  <c r="P325" i="1"/>
  <c r="Q325" i="1" s="1"/>
  <c r="R325" i="1" s="1"/>
  <c r="P326" i="1"/>
  <c r="Q326" i="1" s="1"/>
  <c r="R326" i="1" s="1"/>
  <c r="P327" i="1"/>
  <c r="Q327" i="1" s="1"/>
  <c r="R327" i="1" s="1"/>
  <c r="P328" i="1"/>
  <c r="Q328" i="1" s="1"/>
  <c r="R328" i="1" s="1"/>
  <c r="P329" i="1"/>
  <c r="Q329" i="1" s="1"/>
  <c r="R329" i="1" s="1"/>
  <c r="P330" i="1"/>
  <c r="Q330" i="1" s="1"/>
  <c r="R330" i="1" s="1"/>
  <c r="P331" i="1"/>
  <c r="Q331" i="1" s="1"/>
  <c r="R331" i="1" s="1"/>
  <c r="P332" i="1"/>
  <c r="Q332" i="1" s="1"/>
  <c r="R332" i="1" s="1"/>
  <c r="P333" i="1"/>
  <c r="Q333" i="1" s="1"/>
  <c r="R333" i="1" s="1"/>
  <c r="P334" i="1"/>
  <c r="Q334" i="1" s="1"/>
  <c r="R334" i="1" s="1"/>
  <c r="P335" i="1"/>
  <c r="Q335" i="1" s="1"/>
  <c r="R335" i="1" s="1"/>
  <c r="P336" i="1"/>
  <c r="Q336" i="1" s="1"/>
  <c r="R336" i="1" s="1"/>
  <c r="P337" i="1"/>
  <c r="Q337" i="1" s="1"/>
  <c r="R337" i="1" s="1"/>
  <c r="P338" i="1"/>
  <c r="P339" i="1"/>
  <c r="Q339" i="1" s="1"/>
  <c r="R339" i="1" s="1"/>
  <c r="P340" i="1"/>
  <c r="Q340" i="1" s="1"/>
  <c r="R340" i="1" s="1"/>
  <c r="P341" i="1"/>
  <c r="Q341" i="1" s="1"/>
  <c r="R341" i="1" s="1"/>
  <c r="P342" i="1"/>
  <c r="Q342" i="1" s="1"/>
  <c r="R342" i="1" s="1"/>
  <c r="P343" i="1"/>
  <c r="Q343" i="1" s="1"/>
  <c r="R343" i="1" s="1"/>
  <c r="P344" i="1"/>
  <c r="Q344" i="1" s="1"/>
  <c r="R344" i="1" s="1"/>
  <c r="P345" i="1"/>
  <c r="Q345" i="1" s="1"/>
  <c r="R345" i="1" s="1"/>
  <c r="P346" i="1"/>
  <c r="P347" i="1"/>
  <c r="Q347" i="1" s="1"/>
  <c r="R347" i="1" s="1"/>
  <c r="P348" i="1"/>
  <c r="Q348" i="1" s="1"/>
  <c r="R348" i="1" s="1"/>
  <c r="P349" i="1"/>
  <c r="Q349" i="1" s="1"/>
  <c r="R349" i="1" s="1"/>
  <c r="P350" i="1"/>
  <c r="Q350" i="1" s="1"/>
  <c r="R350" i="1" s="1"/>
  <c r="P351" i="1"/>
  <c r="Q351" i="1" s="1"/>
  <c r="R351" i="1" s="1"/>
  <c r="P352" i="1"/>
  <c r="Q352" i="1" s="1"/>
  <c r="R352" i="1" s="1"/>
  <c r="P353" i="1"/>
  <c r="Q353" i="1" s="1"/>
  <c r="R353" i="1" s="1"/>
  <c r="P354" i="1"/>
  <c r="P355" i="1"/>
  <c r="Q355" i="1" s="1"/>
  <c r="R355" i="1" s="1"/>
  <c r="P356" i="1"/>
  <c r="Q356" i="1" s="1"/>
  <c r="R356" i="1" s="1"/>
  <c r="P357" i="1"/>
  <c r="Q357" i="1" s="1"/>
  <c r="R357" i="1" s="1"/>
  <c r="P358" i="1"/>
  <c r="Q358" i="1" s="1"/>
  <c r="R358" i="1" s="1"/>
  <c r="P359" i="1"/>
  <c r="Q359" i="1" s="1"/>
  <c r="R359" i="1" s="1"/>
  <c r="P360" i="1"/>
  <c r="Q360" i="1" s="1"/>
  <c r="R360" i="1" s="1"/>
  <c r="P361" i="1"/>
  <c r="Q361" i="1" s="1"/>
  <c r="R361" i="1" s="1"/>
  <c r="P362" i="1"/>
  <c r="P363" i="1"/>
  <c r="Q363" i="1" s="1"/>
  <c r="R363" i="1" s="1"/>
</calcChain>
</file>

<file path=xl/sharedStrings.xml><?xml version="1.0" encoding="utf-8"?>
<sst xmlns="http://schemas.openxmlformats.org/spreadsheetml/2006/main" count="3661" uniqueCount="428">
  <si>
    <t>COD CURSO</t>
  </si>
  <si>
    <t>CURSO</t>
  </si>
  <si>
    <t>DURACION</t>
  </si>
  <si>
    <t>CLIENTE</t>
  </si>
  <si>
    <t>IMPORTE CLIENTE</t>
  </si>
  <si>
    <t>PROFESOR</t>
  </si>
  <si>
    <t>IMPORTE PROFESOR</t>
  </si>
  <si>
    <t>FECHA CURSO</t>
  </si>
  <si>
    <t>JORNADA CURSO</t>
  </si>
  <si>
    <t>COMERCIAL</t>
  </si>
  <si>
    <t>IMPORTE COMERCIAL</t>
  </si>
  <si>
    <t>PAGADO CLIENTE</t>
  </si>
  <si>
    <t>PAIS</t>
  </si>
  <si>
    <t>CIUDAD</t>
  </si>
  <si>
    <t>PAGADO COMERCIAL</t>
  </si>
  <si>
    <t>COD-001</t>
  </si>
  <si>
    <t>WORD</t>
  </si>
  <si>
    <t>CLIENTE-001</t>
  </si>
  <si>
    <t>PROFESOR-003</t>
  </si>
  <si>
    <t>MAÑANA</t>
  </si>
  <si>
    <t>COMERCIAL-003</t>
  </si>
  <si>
    <t>SI</t>
  </si>
  <si>
    <t>ESPAÑA</t>
  </si>
  <si>
    <t>MADRID</t>
  </si>
  <si>
    <t>COD-002</t>
  </si>
  <si>
    <t>EXCEL</t>
  </si>
  <si>
    <t>CLIENTE-002</t>
  </si>
  <si>
    <t>PROFESOR-002</t>
  </si>
  <si>
    <t>TARDE</t>
  </si>
  <si>
    <t>COMERCIAL-002</t>
  </si>
  <si>
    <t>ITALIA</t>
  </si>
  <si>
    <t>ROMA</t>
  </si>
  <si>
    <t>COD-003</t>
  </si>
  <si>
    <t>ACCESS</t>
  </si>
  <si>
    <t>CLIENTE-004</t>
  </si>
  <si>
    <t>PROFESOR-001</t>
  </si>
  <si>
    <t>COMERCIAL-004</t>
  </si>
  <si>
    <t>COD-004</t>
  </si>
  <si>
    <t>CLIENTE-003</t>
  </si>
  <si>
    <t>PROFESOR-004</t>
  </si>
  <si>
    <t>COMERCIAL-001</t>
  </si>
  <si>
    <t>NO</t>
  </si>
  <si>
    <t>COD-005</t>
  </si>
  <si>
    <t>CLIENTE-005</t>
  </si>
  <si>
    <t>PROFESOR-005</t>
  </si>
  <si>
    <t>FRANCIA</t>
  </si>
  <si>
    <t>PARIS</t>
  </si>
  <si>
    <t>COD-006</t>
  </si>
  <si>
    <t>COD-007</t>
  </si>
  <si>
    <t>COD-008</t>
  </si>
  <si>
    <t>COD-009</t>
  </si>
  <si>
    <t>CLIENTE-006</t>
  </si>
  <si>
    <t>COD-010</t>
  </si>
  <si>
    <t>INTERNET</t>
  </si>
  <si>
    <t>COD-011</t>
  </si>
  <si>
    <t>WINDOWS</t>
  </si>
  <si>
    <t>CLIENTE-007</t>
  </si>
  <si>
    <t>NOCHE</t>
  </si>
  <si>
    <t>COD-012</t>
  </si>
  <si>
    <t>COD-013</t>
  </si>
  <si>
    <t>COD-014</t>
  </si>
  <si>
    <t>CLIENTE-008</t>
  </si>
  <si>
    <t>COD-015</t>
  </si>
  <si>
    <t>PROGRAMACION</t>
  </si>
  <si>
    <t>COD-016</t>
  </si>
  <si>
    <t>DISEÑO</t>
  </si>
  <si>
    <t>COD-017</t>
  </si>
  <si>
    <t>COD-018</t>
  </si>
  <si>
    <t>COD-019</t>
  </si>
  <si>
    <t>COD-020</t>
  </si>
  <si>
    <t>COD-021</t>
  </si>
  <si>
    <t>COD-022</t>
  </si>
  <si>
    <t>COD-023</t>
  </si>
  <si>
    <t>VALENCIA</t>
  </si>
  <si>
    <t>COD-024</t>
  </si>
  <si>
    <t>COD-025</t>
  </si>
  <si>
    <t>COD-026</t>
  </si>
  <si>
    <t>COD-027</t>
  </si>
  <si>
    <t>COD-028</t>
  </si>
  <si>
    <t>COD-029</t>
  </si>
  <si>
    <t>COD-030</t>
  </si>
  <si>
    <t>COD-031</t>
  </si>
  <si>
    <t>MARSELLA</t>
  </si>
  <si>
    <t>COD-032</t>
  </si>
  <si>
    <t>COD-033</t>
  </si>
  <si>
    <t>COD-034</t>
  </si>
  <si>
    <t>COD-035</t>
  </si>
  <si>
    <t>COD-036</t>
  </si>
  <si>
    <t>COD-037</t>
  </si>
  <si>
    <t>COD-038</t>
  </si>
  <si>
    <t>COD-039</t>
  </si>
  <si>
    <t>COD-040</t>
  </si>
  <si>
    <t>COD-041</t>
  </si>
  <si>
    <t>COD-042</t>
  </si>
  <si>
    <t>COD-043</t>
  </si>
  <si>
    <t>COD-044</t>
  </si>
  <si>
    <t>COD-045</t>
  </si>
  <si>
    <t>COD-046</t>
  </si>
  <si>
    <t>COD-047</t>
  </si>
  <si>
    <t>COD-048</t>
  </si>
  <si>
    <t>COD-049</t>
  </si>
  <si>
    <t>VALLADOLID</t>
  </si>
  <si>
    <t>COD-050</t>
  </si>
  <si>
    <t>COD-051</t>
  </si>
  <si>
    <t>MILAN</t>
  </si>
  <si>
    <t>COD-052</t>
  </si>
  <si>
    <t>COD-053</t>
  </si>
  <si>
    <t>COD-054</t>
  </si>
  <si>
    <t>COD-055</t>
  </si>
  <si>
    <t>COD-056</t>
  </si>
  <si>
    <t>COD-057</t>
  </si>
  <si>
    <t>COD-058</t>
  </si>
  <si>
    <t>COD-059</t>
  </si>
  <si>
    <t>COD-060</t>
  </si>
  <si>
    <t>COD-061</t>
  </si>
  <si>
    <t>COD-062</t>
  </si>
  <si>
    <t>COD-063</t>
  </si>
  <si>
    <t>COD-064</t>
  </si>
  <si>
    <t>COD-065</t>
  </si>
  <si>
    <t>COD-066</t>
  </si>
  <si>
    <t>COD-067</t>
  </si>
  <si>
    <t>COD-068</t>
  </si>
  <si>
    <t>COD-069</t>
  </si>
  <si>
    <t>COD-070</t>
  </si>
  <si>
    <t>COD-071</t>
  </si>
  <si>
    <t>COD-072</t>
  </si>
  <si>
    <t>COD-073</t>
  </si>
  <si>
    <t>COD-074</t>
  </si>
  <si>
    <t>COD-075</t>
  </si>
  <si>
    <t>COD-076</t>
  </si>
  <si>
    <t>COD-077</t>
  </si>
  <si>
    <t>COD-078</t>
  </si>
  <si>
    <t>COD-079</t>
  </si>
  <si>
    <t>COD-080</t>
  </si>
  <si>
    <t>COD-081</t>
  </si>
  <si>
    <t>COD-082</t>
  </si>
  <si>
    <t>COD-083</t>
  </si>
  <si>
    <t>COD-084</t>
  </si>
  <si>
    <t>COD-085</t>
  </si>
  <si>
    <t>COD-086</t>
  </si>
  <si>
    <t>COD-087</t>
  </si>
  <si>
    <t>COD-088</t>
  </si>
  <si>
    <t>COD-089</t>
  </si>
  <si>
    <t>COD-090</t>
  </si>
  <si>
    <t>COD-091</t>
  </si>
  <si>
    <t>COD-092</t>
  </si>
  <si>
    <t>COD-093</t>
  </si>
  <si>
    <t>COD-094</t>
  </si>
  <si>
    <t>COD-095</t>
  </si>
  <si>
    <t>COD-096</t>
  </si>
  <si>
    <t>COD-097</t>
  </si>
  <si>
    <t>COD-098</t>
  </si>
  <si>
    <t>COD-099</t>
  </si>
  <si>
    <t>COD-100</t>
  </si>
  <si>
    <t>COD-101</t>
  </si>
  <si>
    <t>COD-102</t>
  </si>
  <si>
    <t>COD-103</t>
  </si>
  <si>
    <t>COD-104</t>
  </si>
  <si>
    <t>COD-105</t>
  </si>
  <si>
    <t>COD-106</t>
  </si>
  <si>
    <t>COD-107</t>
  </si>
  <si>
    <t>COD-108</t>
  </si>
  <si>
    <t>COD-109</t>
  </si>
  <si>
    <t>COD-110</t>
  </si>
  <si>
    <t>COD-111</t>
  </si>
  <si>
    <t>COD-112</t>
  </si>
  <si>
    <t>COD-113</t>
  </si>
  <si>
    <t>COD-114</t>
  </si>
  <si>
    <t>COD-115</t>
  </si>
  <si>
    <t>COD-116</t>
  </si>
  <si>
    <t>COD-117</t>
  </si>
  <si>
    <t>COD-118</t>
  </si>
  <si>
    <t>COD-119</t>
  </si>
  <si>
    <t>COD-120</t>
  </si>
  <si>
    <t>COD-121</t>
  </si>
  <si>
    <t>COD-122</t>
  </si>
  <si>
    <t>COD-123</t>
  </si>
  <si>
    <t>COD-124</t>
  </si>
  <si>
    <t>COD-125</t>
  </si>
  <si>
    <t>COD-126</t>
  </si>
  <si>
    <t>COD-127</t>
  </si>
  <si>
    <t>COD-128</t>
  </si>
  <si>
    <t>COD-129</t>
  </si>
  <si>
    <t>COD-130</t>
  </si>
  <si>
    <t>COD-131</t>
  </si>
  <si>
    <t>COD-132</t>
  </si>
  <si>
    <t>COD-133</t>
  </si>
  <si>
    <t>COD-134</t>
  </si>
  <si>
    <t>COD-135</t>
  </si>
  <si>
    <t>COD-136</t>
  </si>
  <si>
    <t>COD-137</t>
  </si>
  <si>
    <t>COD-138</t>
  </si>
  <si>
    <t>COD-139</t>
  </si>
  <si>
    <t>COD-140</t>
  </si>
  <si>
    <t>COD-141</t>
  </si>
  <si>
    <t>COD-142</t>
  </si>
  <si>
    <t>COD-143</t>
  </si>
  <si>
    <t>COD-144</t>
  </si>
  <si>
    <t>COD-145</t>
  </si>
  <si>
    <t>COD-146</t>
  </si>
  <si>
    <t>COD-147</t>
  </si>
  <si>
    <t>COD-148</t>
  </si>
  <si>
    <t>COD-149</t>
  </si>
  <si>
    <t>COD-150</t>
  </si>
  <si>
    <t>COD-151</t>
  </si>
  <si>
    <t>COD-152</t>
  </si>
  <si>
    <t>COD-153</t>
  </si>
  <si>
    <t>COD-154</t>
  </si>
  <si>
    <t>COD-155</t>
  </si>
  <si>
    <t>COD-156</t>
  </si>
  <si>
    <t>COD-157</t>
  </si>
  <si>
    <t>COD-158</t>
  </si>
  <si>
    <t>COD-159</t>
  </si>
  <si>
    <t>COD-160</t>
  </si>
  <si>
    <t>COD-161</t>
  </si>
  <si>
    <t>COD-162</t>
  </si>
  <si>
    <t>COD-163</t>
  </si>
  <si>
    <t>COD-164</t>
  </si>
  <si>
    <t>COD-165</t>
  </si>
  <si>
    <t>COD-166</t>
  </si>
  <si>
    <t>COD-167</t>
  </si>
  <si>
    <t>COD-168</t>
  </si>
  <si>
    <t>COD-169</t>
  </si>
  <si>
    <t>COD-170</t>
  </si>
  <si>
    <t>COD-171</t>
  </si>
  <si>
    <t>COD-172</t>
  </si>
  <si>
    <t>COD-173</t>
  </si>
  <si>
    <t>COD-174</t>
  </si>
  <si>
    <t>COD-175</t>
  </si>
  <si>
    <t>COD-176</t>
  </si>
  <si>
    <t>COD-177</t>
  </si>
  <si>
    <t>COD-178</t>
  </si>
  <si>
    <t>COD-179</t>
  </si>
  <si>
    <t>COD-180</t>
  </si>
  <si>
    <t>COD-181</t>
  </si>
  <si>
    <t>COD-182</t>
  </si>
  <si>
    <t>COD-183</t>
  </si>
  <si>
    <t>COD-184</t>
  </si>
  <si>
    <t>COD-185</t>
  </si>
  <si>
    <t>COD-186</t>
  </si>
  <si>
    <t>COD-187</t>
  </si>
  <si>
    <t>COD-188</t>
  </si>
  <si>
    <t>COD-189</t>
  </si>
  <si>
    <t>COD-190</t>
  </si>
  <si>
    <t>COD-191</t>
  </si>
  <si>
    <t>COD-192</t>
  </si>
  <si>
    <t>COD-193</t>
  </si>
  <si>
    <t>COD-194</t>
  </si>
  <si>
    <t>COD-195</t>
  </si>
  <si>
    <t>COD-196</t>
  </si>
  <si>
    <t>COD-197</t>
  </si>
  <si>
    <t>COD-198</t>
  </si>
  <si>
    <t>COD-199</t>
  </si>
  <si>
    <t>COD-200</t>
  </si>
  <si>
    <t>COD-201</t>
  </si>
  <si>
    <t>COD-202</t>
  </si>
  <si>
    <t>COD-203</t>
  </si>
  <si>
    <t>COD-204</t>
  </si>
  <si>
    <t>COD-205</t>
  </si>
  <si>
    <t>COD-206</t>
  </si>
  <si>
    <t>COD-207</t>
  </si>
  <si>
    <t>COD-208</t>
  </si>
  <si>
    <t>COD-209</t>
  </si>
  <si>
    <t>COD-210</t>
  </si>
  <si>
    <t>COD-211</t>
  </si>
  <si>
    <t>COD-212</t>
  </si>
  <si>
    <t>COD-213</t>
  </si>
  <si>
    <t>COD-214</t>
  </si>
  <si>
    <t>COD-215</t>
  </si>
  <si>
    <t>COD-216</t>
  </si>
  <si>
    <t>COD-217</t>
  </si>
  <si>
    <t>COD-218</t>
  </si>
  <si>
    <t>COD-219</t>
  </si>
  <si>
    <t>COD-220</t>
  </si>
  <si>
    <t>COD-221</t>
  </si>
  <si>
    <t>COD-222</t>
  </si>
  <si>
    <t>COD-223</t>
  </si>
  <si>
    <t>COD-224</t>
  </si>
  <si>
    <t>COD-225</t>
  </si>
  <si>
    <t>COD-226</t>
  </si>
  <si>
    <t>COD-227</t>
  </si>
  <si>
    <t>COD-228</t>
  </si>
  <si>
    <t>COD-229</t>
  </si>
  <si>
    <t>COD-230</t>
  </si>
  <si>
    <t>COD-231</t>
  </si>
  <si>
    <t>COD-232</t>
  </si>
  <si>
    <t>COD-233</t>
  </si>
  <si>
    <t>COD-234</t>
  </si>
  <si>
    <t>COD-235</t>
  </si>
  <si>
    <t>COD-236</t>
  </si>
  <si>
    <t>COD-237</t>
  </si>
  <si>
    <t>COD-238</t>
  </si>
  <si>
    <t>COD-239</t>
  </si>
  <si>
    <t>COD-240</t>
  </si>
  <si>
    <t>COD-241</t>
  </si>
  <si>
    <t>COD-242</t>
  </si>
  <si>
    <t>COD-243</t>
  </si>
  <si>
    <t>COD-244</t>
  </si>
  <si>
    <t>COD-245</t>
  </si>
  <si>
    <t>COD-246</t>
  </si>
  <si>
    <t>COD-247</t>
  </si>
  <si>
    <t>COD-248</t>
  </si>
  <si>
    <t>COD-249</t>
  </si>
  <si>
    <t>COD-250</t>
  </si>
  <si>
    <t>COD-251</t>
  </si>
  <si>
    <t>COD-252</t>
  </si>
  <si>
    <t>COD-253</t>
  </si>
  <si>
    <t>COD-254</t>
  </si>
  <si>
    <t>COD-255</t>
  </si>
  <si>
    <t>COD-256</t>
  </si>
  <si>
    <t>COD-257</t>
  </si>
  <si>
    <t>COD-258</t>
  </si>
  <si>
    <t>COD-259</t>
  </si>
  <si>
    <t>COD-260</t>
  </si>
  <si>
    <t>COD-261</t>
  </si>
  <si>
    <t>COD-262</t>
  </si>
  <si>
    <t>COD-263</t>
  </si>
  <si>
    <t>COD-264</t>
  </si>
  <si>
    <t>COD-265</t>
  </si>
  <si>
    <t>COD-266</t>
  </si>
  <si>
    <t>COD-267</t>
  </si>
  <si>
    <t>COD-268</t>
  </si>
  <si>
    <t>COD-269</t>
  </si>
  <si>
    <t>COD-270</t>
  </si>
  <si>
    <t>COD-271</t>
  </si>
  <si>
    <t>COD-272</t>
  </si>
  <si>
    <t>COD-273</t>
  </si>
  <si>
    <t>COD-274</t>
  </si>
  <si>
    <t>COD-275</t>
  </si>
  <si>
    <t>COD-276</t>
  </si>
  <si>
    <t>COD-277</t>
  </si>
  <si>
    <t>COD-278</t>
  </si>
  <si>
    <t>COD-279</t>
  </si>
  <si>
    <t>COD-280</t>
  </si>
  <si>
    <t>COD-281</t>
  </si>
  <si>
    <t>COD-282</t>
  </si>
  <si>
    <t>COD-283</t>
  </si>
  <si>
    <t>COD-284</t>
  </si>
  <si>
    <t>COD-285</t>
  </si>
  <si>
    <t>COD-286</t>
  </si>
  <si>
    <t>COD-287</t>
  </si>
  <si>
    <t>COD-288</t>
  </si>
  <si>
    <t>COD-289</t>
  </si>
  <si>
    <t>COD-290</t>
  </si>
  <si>
    <t>COD-291</t>
  </si>
  <si>
    <t>COD-292</t>
  </si>
  <si>
    <t>COD-293</t>
  </si>
  <si>
    <t>COD-294</t>
  </si>
  <si>
    <t>COD-295</t>
  </si>
  <si>
    <t>COD-296</t>
  </si>
  <si>
    <t>COD-297</t>
  </si>
  <si>
    <t>COD-298</t>
  </si>
  <si>
    <t>COD-299</t>
  </si>
  <si>
    <t>COD-300</t>
  </si>
  <si>
    <t>COD-301</t>
  </si>
  <si>
    <t>COD-302</t>
  </si>
  <si>
    <t>COD-303</t>
  </si>
  <si>
    <t>COD-304</t>
  </si>
  <si>
    <t>COD-305</t>
  </si>
  <si>
    <t>COD-306</t>
  </si>
  <si>
    <t>COD-307</t>
  </si>
  <si>
    <t>COD-308</t>
  </si>
  <si>
    <t>COD-309</t>
  </si>
  <si>
    <t>COD-310</t>
  </si>
  <si>
    <t>COD-311</t>
  </si>
  <si>
    <t>COD-312</t>
  </si>
  <si>
    <t>COD-313</t>
  </si>
  <si>
    <t>COD-314</t>
  </si>
  <si>
    <t>COD-315</t>
  </si>
  <si>
    <t>COD-316</t>
  </si>
  <si>
    <t>COD-317</t>
  </si>
  <si>
    <t>COD-318</t>
  </si>
  <si>
    <t>COD-319</t>
  </si>
  <si>
    <t>COD-320</t>
  </si>
  <si>
    <t>COD-321</t>
  </si>
  <si>
    <t>COD-322</t>
  </si>
  <si>
    <t>COD-323</t>
  </si>
  <si>
    <t>COD-324</t>
  </si>
  <si>
    <t>COD-325</t>
  </si>
  <si>
    <t>COD-326</t>
  </si>
  <si>
    <t>COD-327</t>
  </si>
  <si>
    <t>COD-328</t>
  </si>
  <si>
    <t>COD-329</t>
  </si>
  <si>
    <t>COD-330</t>
  </si>
  <si>
    <t>COD-331</t>
  </si>
  <si>
    <t>COD-332</t>
  </si>
  <si>
    <t>COD-333</t>
  </si>
  <si>
    <t>COD-334</t>
  </si>
  <si>
    <t>COD-335</t>
  </si>
  <si>
    <t>COD-336</t>
  </si>
  <si>
    <t>COD-337</t>
  </si>
  <si>
    <t>COD-338</t>
  </si>
  <si>
    <t>COD-339</t>
  </si>
  <si>
    <t>COD-340</t>
  </si>
  <si>
    <t>COD-341</t>
  </si>
  <si>
    <t>COD-342</t>
  </si>
  <si>
    <t>COD-343</t>
  </si>
  <si>
    <t>COD-344</t>
  </si>
  <si>
    <t>COD-345</t>
  </si>
  <si>
    <t>COD-346</t>
  </si>
  <si>
    <t>COD-347</t>
  </si>
  <si>
    <t>COD-348</t>
  </si>
  <si>
    <t>COD-349</t>
  </si>
  <si>
    <t>COD-350</t>
  </si>
  <si>
    <t>COD-351</t>
  </si>
  <si>
    <t>COD-352</t>
  </si>
  <si>
    <t>COD-353</t>
  </si>
  <si>
    <t>COD-354</t>
  </si>
  <si>
    <t>COD-355</t>
  </si>
  <si>
    <t>COD-356</t>
  </si>
  <si>
    <t>COD-357</t>
  </si>
  <si>
    <t>COD-358</t>
  </si>
  <si>
    <t>COD-359</t>
  </si>
  <si>
    <t>COD-360</t>
  </si>
  <si>
    <t>COD-361</t>
  </si>
  <si>
    <t>COD-362</t>
  </si>
  <si>
    <t>GASTO</t>
  </si>
  <si>
    <t>BENEFICIO</t>
  </si>
  <si>
    <t>%BENEFICIO</t>
  </si>
  <si>
    <t>TOTAL GASTO</t>
  </si>
  <si>
    <t>CONTAR TODOS LOS DATOS DE LA COLUMA CURSO</t>
  </si>
  <si>
    <t>CONTAR EL NUMERO DE CURSOS CON IMPORTE PROFESOR MENOR DE 500</t>
  </si>
  <si>
    <t>SUMAR LAS DURACIONES</t>
  </si>
  <si>
    <t>Etiquetas de fila</t>
  </si>
  <si>
    <t>Total general</t>
  </si>
  <si>
    <t>Etiquetas de columna</t>
  </si>
  <si>
    <t>Suma de DURACION</t>
  </si>
  <si>
    <t>TOTAL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</si>
</sst>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€&quot;_-;\-* #,##0.00\ &quot;€&quot;_-;_-* &quot;-&quot;??\ &quot;€&quot;_-;_-@_-"/>
    <numFmt numFmtId="165" formatCode="#,##0.00\ [$€-1]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1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/>
    </xf>
    <xf numFmtId="9" fontId="0" fillId="0" borderId="0" xfId="2" applyFont="1" applyAlignment="1">
      <alignment vertical="center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2" fillId="0" borderId="0" xfId="0" applyFont="1" applyAlignment="1">
      <alignment vertical="center"/>
    </xf>
  </cellXfs>
  <cellStyles count="3">
    <cellStyle name="Euro" xfId="1" xr:uid="{08E7607B-4442-46AE-9C59-347AB043C811}"/>
    <cellStyle name="Normal" xfId="0" builtinId="0"/>
    <cellStyle name="Porcentaje" xfId="2" builtinId="5"/>
  </cellStyles>
  <dxfs count="38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_-* #,##0.00\ &quot;€&quot;_-;\-* #,##0.00\ &quot;€&quot;_-;_-* &quot;-&quot;??\ &quot;€&quot;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64" formatCode="_-* #,##0.00\ &quot;€&quot;_-;\-* #,##0.00\ &quot;€&quot;_-;_-* &quot;-&quot;??\ &quot;€&quot;_-;_-@_-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* #,##0.00\ &quot;€&quot;_-;\-* #,##0.00\ &quot;€&quot;_-;_-* &quot;-&quot;??\ &quot;€&quot;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" refreshedDate="45869.49089212963" createdVersion="8" refreshedVersion="8" minRefreshableVersion="3" recordCount="362" xr:uid="{8BDFEDE6-F153-4C1A-8D1C-A3772F29E5E5}">
  <cacheSource type="worksheet">
    <worksheetSource name="T_CURSOS"/>
  </cacheSource>
  <cacheFields count="18">
    <cacheField name="COD CURSO" numFmtId="0">
      <sharedItems/>
    </cacheField>
    <cacheField name="CURSO" numFmtId="0">
      <sharedItems count="7">
        <s v="WORD"/>
        <s v="EXCEL"/>
        <s v="ACCESS"/>
        <s v="INTERNET"/>
        <s v="WINDOWS"/>
        <s v="PROGRAMACION"/>
        <s v="DISEÑO"/>
      </sharedItems>
    </cacheField>
    <cacheField name="DURACION" numFmtId="0">
      <sharedItems containsSemiMixedTypes="0" containsString="0" containsNumber="1" containsInteger="1" minValue="10" maxValue="45"/>
    </cacheField>
    <cacheField name="CLIENTE" numFmtId="0">
      <sharedItems count="8">
        <s v="CLIENTE-001"/>
        <s v="CLIENTE-002"/>
        <s v="CLIENTE-004"/>
        <s v="CLIENTE-003"/>
        <s v="CLIENTE-005"/>
        <s v="CLIENTE-006"/>
        <s v="CLIENTE-007"/>
        <s v="CLIENTE-008"/>
      </sharedItems>
    </cacheField>
    <cacheField name="IMPORTE CLIENTE" numFmtId="164">
      <sharedItems containsSemiMixedTypes="0" containsString="0" containsNumber="1" containsInteger="1" minValue="250" maxValue="3375"/>
    </cacheField>
    <cacheField name="PROFESOR" numFmtId="0">
      <sharedItems/>
    </cacheField>
    <cacheField name="IMPORTE PROFESOR" numFmtId="164">
      <sharedItems containsSemiMixedTypes="0" containsString="0" containsNumber="1" containsInteger="1" minValue="120" maxValue="540"/>
    </cacheField>
    <cacheField name="FECHA CURSO" numFmtId="14">
      <sharedItems containsSemiMixedTypes="0" containsNonDate="0" containsDate="1" containsString="0" minDate="2019-01-02T00:00:00" maxDate="2021-12-27T00:00:00"/>
    </cacheField>
    <cacheField name="JORNADA CURSO" numFmtId="14">
      <sharedItems count="3">
        <s v="MAÑANA"/>
        <s v="TARDE"/>
        <s v="NOCHE"/>
      </sharedItems>
    </cacheField>
    <cacheField name="COMERCIAL" numFmtId="0">
      <sharedItems/>
    </cacheField>
    <cacheField name="IMPORTE COMERCIAL" numFmtId="164">
      <sharedItems containsSemiMixedTypes="0" containsString="0" containsNumber="1" minValue="12.5" maxValue="506.25"/>
    </cacheField>
    <cacheField name="PAGADO CLIENTE" numFmtId="0">
      <sharedItems/>
    </cacheField>
    <cacheField name="PAIS" numFmtId="0">
      <sharedItems count="3">
        <s v="ESPAÑA"/>
        <s v="ITALIA"/>
        <s v="FRANCIA"/>
      </sharedItems>
    </cacheField>
    <cacheField name="CIUDAD" numFmtId="0">
      <sharedItems/>
    </cacheField>
    <cacheField name="PAGADO COMERCIAL" numFmtId="0">
      <sharedItems/>
    </cacheField>
    <cacheField name="GASTO" numFmtId="164">
      <sharedItems containsSemiMixedTypes="0" containsString="0" containsNumber="1" minValue="132.5" maxValue="1046.25"/>
    </cacheField>
    <cacheField name="BENEFICIO" numFmtId="164">
      <sharedItems containsSemiMixedTypes="0" containsString="0" containsNumber="1" minValue="112.5" maxValue="2328.75"/>
    </cacheField>
    <cacheField name="%BENEFICIO" numFmtId="9">
      <sharedItems containsSemiMixedTypes="0" containsString="0" containsNumber="1" minValue="0.45" maxValue="0.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2">
  <r>
    <s v="COD-001"/>
    <x v="0"/>
    <n v="15"/>
    <x v="0"/>
    <n v="375"/>
    <s v="PROFESOR-003"/>
    <n v="180"/>
    <d v="2021-09-03T00:00:00"/>
    <x v="0"/>
    <s v="COMERCIAL-003"/>
    <n v="26.25"/>
    <s v="SI"/>
    <x v="0"/>
    <s v="MADRID"/>
    <s v="SI"/>
    <n v="206.25"/>
    <n v="168.75"/>
    <n v="0.45"/>
  </r>
  <r>
    <s v="COD-002"/>
    <x v="1"/>
    <n v="20"/>
    <x v="1"/>
    <n v="600"/>
    <s v="PROFESOR-002"/>
    <n v="240"/>
    <d v="2021-09-30T00:00:00"/>
    <x v="1"/>
    <s v="COMERCIAL-002"/>
    <n v="48"/>
    <s v="SI"/>
    <x v="1"/>
    <s v="ROMA"/>
    <s v="SI"/>
    <n v="288"/>
    <n v="312"/>
    <n v="0.52"/>
  </r>
  <r>
    <s v="COD-003"/>
    <x v="2"/>
    <n v="18"/>
    <x v="2"/>
    <n v="720"/>
    <s v="PROFESOR-001"/>
    <n v="216"/>
    <d v="2019-08-04T00:00:00"/>
    <x v="0"/>
    <s v="COMERCIAL-004"/>
    <n v="72"/>
    <s v="SI"/>
    <x v="0"/>
    <s v="MADRID"/>
    <s v="SI"/>
    <n v="288"/>
    <n v="432"/>
    <n v="0.6"/>
  </r>
  <r>
    <s v="COD-004"/>
    <x v="0"/>
    <n v="25"/>
    <x v="3"/>
    <n v="625"/>
    <s v="PROFESOR-004"/>
    <n v="300"/>
    <d v="2019-03-07T00:00:00"/>
    <x v="0"/>
    <s v="COMERCIAL-001"/>
    <n v="43.75"/>
    <s v="SI"/>
    <x v="1"/>
    <s v="ROMA"/>
    <s v="NO"/>
    <n v="343.75"/>
    <n v="281.25"/>
    <n v="0.45"/>
  </r>
  <r>
    <s v="COD-005"/>
    <x v="0"/>
    <n v="20"/>
    <x v="4"/>
    <n v="500"/>
    <s v="PROFESOR-005"/>
    <n v="240"/>
    <d v="2021-03-04T00:00:00"/>
    <x v="0"/>
    <s v="COMERCIAL-003"/>
    <n v="35"/>
    <s v="NO"/>
    <x v="2"/>
    <s v="PARIS"/>
    <s v="NO"/>
    <n v="275"/>
    <n v="225"/>
    <n v="0.45"/>
  </r>
  <r>
    <s v="COD-006"/>
    <x v="0"/>
    <n v="10"/>
    <x v="3"/>
    <n v="250"/>
    <s v="PROFESOR-002"/>
    <n v="120"/>
    <d v="2019-01-21T00:00:00"/>
    <x v="0"/>
    <s v="COMERCIAL-002"/>
    <n v="17.5"/>
    <s v="NO"/>
    <x v="1"/>
    <s v="ROMA"/>
    <s v="SI"/>
    <n v="137.5"/>
    <n v="112.5"/>
    <n v="0.45"/>
  </r>
  <r>
    <s v="COD-007"/>
    <x v="1"/>
    <n v="12"/>
    <x v="2"/>
    <n v="360"/>
    <s v="PROFESOR-001"/>
    <n v="144"/>
    <d v="2020-07-18T00:00:00"/>
    <x v="1"/>
    <s v="COMERCIAL-004"/>
    <n v="28.8"/>
    <s v="NO"/>
    <x v="0"/>
    <s v="MADRID"/>
    <s v="SI"/>
    <n v="172.8"/>
    <n v="187.2"/>
    <n v="0.52"/>
  </r>
  <r>
    <s v="COD-008"/>
    <x v="1"/>
    <n v="15"/>
    <x v="3"/>
    <n v="450"/>
    <s v="PROFESOR-004"/>
    <n v="180"/>
    <d v="2019-04-16T00:00:00"/>
    <x v="1"/>
    <s v="COMERCIAL-001"/>
    <n v="36"/>
    <s v="NO"/>
    <x v="1"/>
    <s v="ROMA"/>
    <s v="SI"/>
    <n v="216"/>
    <n v="234"/>
    <n v="0.52"/>
  </r>
  <r>
    <s v="COD-009"/>
    <x v="1"/>
    <n v="20"/>
    <x v="5"/>
    <n v="600"/>
    <s v="PROFESOR-003"/>
    <n v="240"/>
    <d v="2021-08-06T00:00:00"/>
    <x v="1"/>
    <s v="COMERCIAL-002"/>
    <n v="48"/>
    <s v="NO"/>
    <x v="2"/>
    <s v="PARIS"/>
    <s v="SI"/>
    <n v="288"/>
    <n v="312"/>
    <n v="0.52"/>
  </r>
  <r>
    <s v="COD-010"/>
    <x v="3"/>
    <n v="25"/>
    <x v="2"/>
    <n v="625"/>
    <s v="PROFESOR-002"/>
    <n v="300"/>
    <d v="2021-10-07T00:00:00"/>
    <x v="1"/>
    <s v="COMERCIAL-004"/>
    <n v="31.25"/>
    <s v="SI"/>
    <x v="0"/>
    <s v="MADRID"/>
    <s v="SI"/>
    <n v="331.25"/>
    <n v="293.75"/>
    <n v="0.47"/>
  </r>
  <r>
    <s v="COD-011"/>
    <x v="4"/>
    <n v="30"/>
    <x v="6"/>
    <n v="750"/>
    <s v="PROFESOR-001"/>
    <n v="360"/>
    <d v="2020-02-07T00:00:00"/>
    <x v="2"/>
    <s v="COMERCIAL-001"/>
    <n v="37.5"/>
    <s v="SI"/>
    <x v="0"/>
    <s v="MADRID"/>
    <s v="SI"/>
    <n v="397.5"/>
    <n v="352.5"/>
    <n v="0.47"/>
  </r>
  <r>
    <s v="COD-012"/>
    <x v="4"/>
    <n v="40"/>
    <x v="4"/>
    <n v="1000"/>
    <s v="PROFESOR-004"/>
    <n v="480"/>
    <d v="2021-03-11T00:00:00"/>
    <x v="2"/>
    <s v="COMERCIAL-003"/>
    <n v="50"/>
    <s v="SI"/>
    <x v="2"/>
    <s v="PARIS"/>
    <s v="SI"/>
    <n v="530"/>
    <n v="470"/>
    <n v="0.47"/>
  </r>
  <r>
    <s v="COD-013"/>
    <x v="4"/>
    <n v="35"/>
    <x v="5"/>
    <n v="875"/>
    <s v="PROFESOR-005"/>
    <n v="420"/>
    <d v="2019-03-19T00:00:00"/>
    <x v="2"/>
    <s v="COMERCIAL-002"/>
    <n v="43.75"/>
    <s v="SI"/>
    <x v="2"/>
    <s v="PARIS"/>
    <s v="SI"/>
    <n v="463.75"/>
    <n v="411.25"/>
    <n v="0.47"/>
  </r>
  <r>
    <s v="COD-014"/>
    <x v="3"/>
    <n v="45"/>
    <x v="7"/>
    <n v="1125"/>
    <s v="PROFESOR-002"/>
    <n v="540"/>
    <d v="2019-08-19T00:00:00"/>
    <x v="1"/>
    <s v="COMERCIAL-004"/>
    <n v="56.25"/>
    <s v="SI"/>
    <x v="0"/>
    <s v="MADRID"/>
    <s v="SI"/>
    <n v="596.25"/>
    <n v="528.75"/>
    <n v="0.47"/>
  </r>
  <r>
    <s v="COD-015"/>
    <x v="5"/>
    <n v="18"/>
    <x v="3"/>
    <n v="1350"/>
    <s v="PROFESOR-001"/>
    <n v="216"/>
    <d v="2019-09-03T00:00:00"/>
    <x v="1"/>
    <s v="COMERCIAL-003"/>
    <n v="202.5"/>
    <s v="SI"/>
    <x v="1"/>
    <s v="ROMA"/>
    <s v="SI"/>
    <n v="418.5"/>
    <n v="931.5"/>
    <n v="0.69"/>
  </r>
  <r>
    <s v="COD-016"/>
    <x v="6"/>
    <n v="10"/>
    <x v="4"/>
    <n v="600"/>
    <s v="PROFESOR-004"/>
    <n v="120"/>
    <d v="2021-04-18T00:00:00"/>
    <x v="1"/>
    <s v="COMERCIAL-002"/>
    <n v="72"/>
    <s v="SI"/>
    <x v="2"/>
    <s v="PARIS"/>
    <s v="SI"/>
    <n v="192"/>
    <n v="408"/>
    <n v="0.68"/>
  </r>
  <r>
    <s v="COD-017"/>
    <x v="6"/>
    <n v="12"/>
    <x v="5"/>
    <n v="720"/>
    <s v="PROFESOR-005"/>
    <n v="144"/>
    <d v="2020-01-05T00:00:00"/>
    <x v="1"/>
    <s v="COMERCIAL-004"/>
    <n v="86.4"/>
    <s v="SI"/>
    <x v="2"/>
    <s v="PARIS"/>
    <s v="SI"/>
    <n v="230.4"/>
    <n v="489.6"/>
    <n v="0.68"/>
  </r>
  <r>
    <s v="COD-018"/>
    <x v="6"/>
    <n v="15"/>
    <x v="2"/>
    <n v="900"/>
    <s v="PROFESOR-002"/>
    <n v="180"/>
    <d v="2020-08-21T00:00:00"/>
    <x v="2"/>
    <s v="COMERCIAL-001"/>
    <n v="108"/>
    <s v="SI"/>
    <x v="0"/>
    <s v="MADRID"/>
    <s v="NO"/>
    <n v="288"/>
    <n v="612"/>
    <n v="0.68"/>
  </r>
  <r>
    <s v="COD-019"/>
    <x v="2"/>
    <n v="25"/>
    <x v="6"/>
    <n v="1000"/>
    <s v="PROFESOR-001"/>
    <n v="300"/>
    <d v="2019-12-27T00:00:00"/>
    <x v="2"/>
    <s v="COMERCIAL-003"/>
    <n v="100"/>
    <s v="SI"/>
    <x v="0"/>
    <s v="MADRID"/>
    <s v="SI"/>
    <n v="400"/>
    <n v="600"/>
    <n v="0.6"/>
  </r>
  <r>
    <s v="COD-020"/>
    <x v="2"/>
    <n v="15"/>
    <x v="6"/>
    <n v="600"/>
    <s v="PROFESOR-004"/>
    <n v="180"/>
    <d v="2021-01-29T00:00:00"/>
    <x v="2"/>
    <s v="COMERCIAL-002"/>
    <n v="60"/>
    <s v="SI"/>
    <x v="0"/>
    <s v="MADRID"/>
    <s v="SI"/>
    <n v="240"/>
    <n v="360"/>
    <n v="0.6"/>
  </r>
  <r>
    <s v="COD-021"/>
    <x v="2"/>
    <n v="20"/>
    <x v="5"/>
    <n v="800"/>
    <s v="PROFESOR-003"/>
    <n v="240"/>
    <d v="2020-05-02T00:00:00"/>
    <x v="2"/>
    <s v="COMERCIAL-004"/>
    <n v="80"/>
    <s v="SI"/>
    <x v="2"/>
    <s v="PARIS"/>
    <s v="SI"/>
    <n v="320"/>
    <n v="480"/>
    <n v="0.6"/>
  </r>
  <r>
    <s v="COD-022"/>
    <x v="2"/>
    <n v="20"/>
    <x v="4"/>
    <n v="800"/>
    <s v="PROFESOR-002"/>
    <n v="240"/>
    <d v="2020-04-06T00:00:00"/>
    <x v="2"/>
    <s v="COMERCIAL-001"/>
    <n v="80"/>
    <s v="SI"/>
    <x v="2"/>
    <s v="PARIS"/>
    <s v="SI"/>
    <n v="320"/>
    <n v="480"/>
    <n v="0.6"/>
  </r>
  <r>
    <s v="COD-023"/>
    <x v="1"/>
    <n v="30"/>
    <x v="7"/>
    <n v="900"/>
    <s v="PROFESOR-001"/>
    <n v="360"/>
    <d v="2019-08-28T00:00:00"/>
    <x v="1"/>
    <s v="COMERCIAL-002"/>
    <n v="72"/>
    <s v="SI"/>
    <x v="0"/>
    <s v="VALENCIA"/>
    <s v="SI"/>
    <n v="432"/>
    <n v="468"/>
    <n v="0.52"/>
  </r>
  <r>
    <s v="COD-024"/>
    <x v="1"/>
    <n v="35"/>
    <x v="7"/>
    <n v="1050"/>
    <s v="PROFESOR-001"/>
    <n v="420"/>
    <d v="2019-11-01T00:00:00"/>
    <x v="0"/>
    <s v="COMERCIAL-004"/>
    <n v="84"/>
    <s v="SI"/>
    <x v="0"/>
    <s v="VALENCIA"/>
    <s v="SI"/>
    <n v="504"/>
    <n v="546"/>
    <n v="0.52"/>
  </r>
  <r>
    <s v="COD-025"/>
    <x v="1"/>
    <n v="40"/>
    <x v="6"/>
    <n v="1200"/>
    <s v="PROFESOR-004"/>
    <n v="480"/>
    <d v="2021-03-16T00:00:00"/>
    <x v="1"/>
    <s v="COMERCIAL-001"/>
    <n v="96"/>
    <s v="SI"/>
    <x v="0"/>
    <s v="VALENCIA"/>
    <s v="NO"/>
    <n v="576"/>
    <n v="624"/>
    <n v="0.52"/>
  </r>
  <r>
    <s v="COD-026"/>
    <x v="0"/>
    <n v="40"/>
    <x v="4"/>
    <n v="1000"/>
    <s v="PROFESOR-005"/>
    <n v="480"/>
    <d v="2019-12-24T00:00:00"/>
    <x v="0"/>
    <s v="COMERCIAL-003"/>
    <n v="70"/>
    <s v="NO"/>
    <x v="2"/>
    <s v="PARIS"/>
    <s v="NO"/>
    <n v="550"/>
    <n v="450"/>
    <n v="0.45"/>
  </r>
  <r>
    <s v="COD-027"/>
    <x v="0"/>
    <n v="35"/>
    <x v="3"/>
    <n v="875"/>
    <s v="PROFESOR-002"/>
    <n v="420"/>
    <d v="2020-11-07T00:00:00"/>
    <x v="0"/>
    <s v="COMERCIAL-002"/>
    <n v="61.25"/>
    <s v="NO"/>
    <x v="1"/>
    <s v="ROMA"/>
    <s v="SI"/>
    <n v="481.25"/>
    <n v="393.75"/>
    <n v="0.45"/>
  </r>
  <r>
    <s v="COD-028"/>
    <x v="0"/>
    <n v="45"/>
    <x v="4"/>
    <n v="1125"/>
    <s v="PROFESOR-001"/>
    <n v="540"/>
    <d v="2019-05-28T00:00:00"/>
    <x v="0"/>
    <s v="COMERCIAL-004"/>
    <n v="78.75"/>
    <s v="NO"/>
    <x v="2"/>
    <s v="PARIS"/>
    <s v="SI"/>
    <n v="618.75"/>
    <n v="506.25"/>
    <n v="0.45"/>
  </r>
  <r>
    <s v="COD-029"/>
    <x v="0"/>
    <n v="25"/>
    <x v="2"/>
    <n v="625"/>
    <s v="PROFESOR-004"/>
    <n v="300"/>
    <d v="2020-02-16T00:00:00"/>
    <x v="0"/>
    <s v="COMERCIAL-003"/>
    <n v="43.75"/>
    <s v="NO"/>
    <x v="0"/>
    <s v="VALENCIA"/>
    <s v="NO"/>
    <n v="343.75"/>
    <n v="281.25"/>
    <n v="0.45"/>
  </r>
  <r>
    <s v="COD-030"/>
    <x v="1"/>
    <n v="20"/>
    <x v="3"/>
    <n v="600"/>
    <s v="PROFESOR-003"/>
    <n v="240"/>
    <d v="2019-10-28T00:00:00"/>
    <x v="1"/>
    <s v="COMERCIAL-002"/>
    <n v="48"/>
    <s v="SI"/>
    <x v="1"/>
    <s v="ROMA"/>
    <s v="SI"/>
    <n v="288"/>
    <n v="312"/>
    <n v="0.52"/>
  </r>
  <r>
    <s v="COD-031"/>
    <x v="2"/>
    <n v="10"/>
    <x v="4"/>
    <n v="400"/>
    <s v="PROFESOR-002"/>
    <n v="120"/>
    <d v="2021-05-20T00:00:00"/>
    <x v="1"/>
    <s v="COMERCIAL-004"/>
    <n v="40"/>
    <s v="SI"/>
    <x v="2"/>
    <s v="MARSELLA"/>
    <s v="SI"/>
    <n v="160"/>
    <n v="240"/>
    <n v="0.6"/>
  </r>
  <r>
    <s v="COD-032"/>
    <x v="0"/>
    <n v="12"/>
    <x v="3"/>
    <n v="300"/>
    <s v="PROFESOR-001"/>
    <n v="144"/>
    <d v="2021-09-09T00:00:00"/>
    <x v="1"/>
    <s v="COMERCIAL-001"/>
    <n v="21"/>
    <s v="SI"/>
    <x v="1"/>
    <s v="ROMA"/>
    <s v="NO"/>
    <n v="165"/>
    <n v="135"/>
    <n v="0.45"/>
  </r>
  <r>
    <s v="COD-033"/>
    <x v="0"/>
    <n v="15"/>
    <x v="2"/>
    <n v="375"/>
    <s v="PROFESOR-004"/>
    <n v="180"/>
    <d v="2021-08-03T00:00:00"/>
    <x v="1"/>
    <s v="COMERCIAL-002"/>
    <n v="26.25"/>
    <s v="SI"/>
    <x v="0"/>
    <s v="VALENCIA"/>
    <s v="SI"/>
    <n v="206.25"/>
    <n v="168.75"/>
    <n v="0.45"/>
  </r>
  <r>
    <s v="COD-034"/>
    <x v="0"/>
    <n v="20"/>
    <x v="3"/>
    <n v="500"/>
    <s v="PROFESOR-005"/>
    <n v="240"/>
    <d v="2020-07-22T00:00:00"/>
    <x v="2"/>
    <s v="COMERCIAL-004"/>
    <n v="35"/>
    <s v="NO"/>
    <x v="1"/>
    <s v="ROMA"/>
    <s v="SI"/>
    <n v="275"/>
    <n v="225"/>
    <n v="0.45"/>
  </r>
  <r>
    <s v="COD-035"/>
    <x v="1"/>
    <n v="25"/>
    <x v="5"/>
    <n v="750"/>
    <s v="PROFESOR-002"/>
    <n v="300"/>
    <d v="2020-11-14T00:00:00"/>
    <x v="2"/>
    <s v="COMERCIAL-001"/>
    <n v="60"/>
    <s v="NO"/>
    <x v="2"/>
    <s v="MARSELLA"/>
    <s v="NO"/>
    <n v="360"/>
    <n v="390"/>
    <n v="0.52"/>
  </r>
  <r>
    <s v="COD-036"/>
    <x v="1"/>
    <n v="30"/>
    <x v="2"/>
    <n v="900"/>
    <s v="PROFESOR-001"/>
    <n v="360"/>
    <d v="2019-11-08T00:00:00"/>
    <x v="2"/>
    <s v="COMERCIAL-003"/>
    <n v="72"/>
    <s v="NO"/>
    <x v="0"/>
    <s v="VALENCIA"/>
    <s v="NO"/>
    <n v="432"/>
    <n v="468"/>
    <n v="0.52"/>
  </r>
  <r>
    <s v="COD-037"/>
    <x v="1"/>
    <n v="40"/>
    <x v="6"/>
    <n v="1200"/>
    <s v="PROFESOR-004"/>
    <n v="480"/>
    <d v="2019-02-02T00:00:00"/>
    <x v="1"/>
    <s v="COMERCIAL-002"/>
    <n v="96"/>
    <s v="SI"/>
    <x v="0"/>
    <s v="VALENCIA"/>
    <s v="SI"/>
    <n v="576"/>
    <n v="624"/>
    <n v="0.52"/>
  </r>
  <r>
    <s v="COD-038"/>
    <x v="3"/>
    <n v="35"/>
    <x v="4"/>
    <n v="875"/>
    <s v="PROFESOR-005"/>
    <n v="420"/>
    <d v="2021-03-27T00:00:00"/>
    <x v="1"/>
    <s v="COMERCIAL-004"/>
    <n v="43.75"/>
    <s v="NO"/>
    <x v="2"/>
    <s v="PARIS"/>
    <s v="SI"/>
    <n v="463.75"/>
    <n v="411.25"/>
    <n v="0.47"/>
  </r>
  <r>
    <s v="COD-039"/>
    <x v="4"/>
    <n v="45"/>
    <x v="5"/>
    <n v="1125"/>
    <s v="PROFESOR-002"/>
    <n v="540"/>
    <d v="2020-08-03T00:00:00"/>
    <x v="1"/>
    <s v="COMERCIAL-003"/>
    <n v="56.25"/>
    <s v="SI"/>
    <x v="2"/>
    <s v="PARIS"/>
    <s v="NO"/>
    <n v="596.25"/>
    <n v="528.75"/>
    <n v="0.47"/>
  </r>
  <r>
    <s v="COD-040"/>
    <x v="4"/>
    <n v="18"/>
    <x v="7"/>
    <n v="450"/>
    <s v="PROFESOR-001"/>
    <n v="216"/>
    <d v="2021-06-02T00:00:00"/>
    <x v="1"/>
    <s v="COMERCIAL-002"/>
    <n v="22.5"/>
    <s v="SI"/>
    <x v="0"/>
    <s v="VALENCIA"/>
    <s v="SI"/>
    <n v="238.5"/>
    <n v="211.5"/>
    <n v="0.47"/>
  </r>
  <r>
    <s v="COD-041"/>
    <x v="4"/>
    <n v="10"/>
    <x v="3"/>
    <n v="250"/>
    <s v="PROFESOR-003"/>
    <n v="120"/>
    <d v="2021-07-26T00:00:00"/>
    <x v="2"/>
    <s v="COMERCIAL-004"/>
    <n v="12.5"/>
    <s v="SI"/>
    <x v="1"/>
    <s v="ROMA"/>
    <s v="SI"/>
    <n v="132.5"/>
    <n v="117.5"/>
    <n v="0.47"/>
  </r>
  <r>
    <s v="COD-042"/>
    <x v="3"/>
    <n v="12"/>
    <x v="4"/>
    <n v="300"/>
    <s v="PROFESOR-002"/>
    <n v="144"/>
    <d v="2021-06-22T00:00:00"/>
    <x v="2"/>
    <s v="COMERCIAL-001"/>
    <n v="15"/>
    <s v="SI"/>
    <x v="2"/>
    <s v="PARIS"/>
    <s v="SI"/>
    <n v="159"/>
    <n v="141"/>
    <n v="0.47"/>
  </r>
  <r>
    <s v="COD-043"/>
    <x v="5"/>
    <n v="15"/>
    <x v="5"/>
    <n v="1125"/>
    <s v="PROFESOR-001"/>
    <n v="180"/>
    <d v="2021-11-04T00:00:00"/>
    <x v="2"/>
    <s v="COMERCIAL-003"/>
    <n v="168.75"/>
    <s v="SI"/>
    <x v="2"/>
    <s v="MARSELLA"/>
    <s v="SI"/>
    <n v="348.75"/>
    <n v="776.25"/>
    <n v="0.69"/>
  </r>
  <r>
    <s v="COD-044"/>
    <x v="6"/>
    <n v="25"/>
    <x v="2"/>
    <n v="1500"/>
    <s v="PROFESOR-004"/>
    <n v="300"/>
    <d v="2020-11-12T00:00:00"/>
    <x v="2"/>
    <s v="COMERCIAL-002"/>
    <n v="180"/>
    <s v="SI"/>
    <x v="0"/>
    <s v="VALENCIA"/>
    <s v="SI"/>
    <n v="480"/>
    <n v="1020"/>
    <n v="0.68"/>
  </r>
  <r>
    <s v="COD-045"/>
    <x v="6"/>
    <n v="15"/>
    <x v="6"/>
    <n v="900"/>
    <s v="PROFESOR-005"/>
    <n v="180"/>
    <d v="2019-06-30T00:00:00"/>
    <x v="2"/>
    <s v="COMERCIAL-004"/>
    <n v="108"/>
    <s v="SI"/>
    <x v="0"/>
    <s v="VALENCIA"/>
    <s v="SI"/>
    <n v="288"/>
    <n v="612"/>
    <n v="0.68"/>
  </r>
  <r>
    <s v="COD-046"/>
    <x v="6"/>
    <n v="10"/>
    <x v="6"/>
    <n v="600"/>
    <s v="PROFESOR-002"/>
    <n v="120"/>
    <d v="2019-06-12T00:00:00"/>
    <x v="1"/>
    <s v="COMERCIAL-001"/>
    <n v="72"/>
    <s v="SI"/>
    <x v="0"/>
    <s v="VALENCIA"/>
    <s v="SI"/>
    <n v="192"/>
    <n v="408"/>
    <n v="0.68"/>
  </r>
  <r>
    <s v="COD-047"/>
    <x v="2"/>
    <n v="12"/>
    <x v="5"/>
    <n v="480"/>
    <s v="PROFESOR-001"/>
    <n v="144"/>
    <d v="2020-11-25T00:00:00"/>
    <x v="2"/>
    <s v="COMERCIAL-002"/>
    <n v="48"/>
    <s v="SI"/>
    <x v="2"/>
    <s v="PARIS"/>
    <s v="SI"/>
    <n v="192"/>
    <n v="288"/>
    <n v="0.6"/>
  </r>
  <r>
    <s v="COD-048"/>
    <x v="2"/>
    <n v="15"/>
    <x v="4"/>
    <n v="600"/>
    <s v="PROFESOR-004"/>
    <n v="180"/>
    <d v="2019-01-08T00:00:00"/>
    <x v="2"/>
    <s v="COMERCIAL-004"/>
    <n v="60"/>
    <s v="SI"/>
    <x v="2"/>
    <s v="PARIS"/>
    <s v="SI"/>
    <n v="240"/>
    <n v="360"/>
    <n v="0.6"/>
  </r>
  <r>
    <s v="COD-049"/>
    <x v="2"/>
    <n v="25"/>
    <x v="7"/>
    <n v="1000"/>
    <s v="PROFESOR-003"/>
    <n v="300"/>
    <d v="2019-07-01T00:00:00"/>
    <x v="2"/>
    <s v="COMERCIAL-001"/>
    <n v="100"/>
    <s v="SI"/>
    <x v="0"/>
    <s v="VALLADOLID"/>
    <s v="NO"/>
    <n v="400"/>
    <n v="600"/>
    <n v="0.6"/>
  </r>
  <r>
    <s v="COD-050"/>
    <x v="2"/>
    <n v="15"/>
    <x v="0"/>
    <n v="600"/>
    <s v="PROFESOR-002"/>
    <n v="180"/>
    <d v="2021-01-11T00:00:00"/>
    <x v="1"/>
    <s v="COMERCIAL-003"/>
    <n v="60"/>
    <s v="SI"/>
    <x v="0"/>
    <s v="VALLADOLID"/>
    <s v="NO"/>
    <n v="240"/>
    <n v="360"/>
    <n v="0.6"/>
  </r>
  <r>
    <s v="COD-051"/>
    <x v="1"/>
    <n v="20"/>
    <x v="1"/>
    <n v="600"/>
    <s v="PROFESOR-001"/>
    <n v="240"/>
    <d v="2021-09-01T00:00:00"/>
    <x v="1"/>
    <s v="COMERCIAL-003"/>
    <n v="48"/>
    <s v="SI"/>
    <x v="1"/>
    <s v="MILAN"/>
    <s v="NO"/>
    <n v="288"/>
    <n v="312"/>
    <n v="0.52"/>
  </r>
  <r>
    <s v="COD-052"/>
    <x v="1"/>
    <n v="20"/>
    <x v="2"/>
    <n v="600"/>
    <s v="PROFESOR-004"/>
    <n v="240"/>
    <d v="2019-10-02T00:00:00"/>
    <x v="1"/>
    <s v="COMERCIAL-002"/>
    <n v="48"/>
    <s v="SI"/>
    <x v="0"/>
    <s v="VALLADOLID"/>
    <s v="SI"/>
    <n v="288"/>
    <n v="312"/>
    <n v="0.52"/>
  </r>
  <r>
    <s v="COD-053"/>
    <x v="1"/>
    <n v="30"/>
    <x v="3"/>
    <n v="900"/>
    <s v="PROFESOR-005"/>
    <n v="360"/>
    <d v="2019-02-10T00:00:00"/>
    <x v="1"/>
    <s v="COMERCIAL-004"/>
    <n v="72"/>
    <s v="SI"/>
    <x v="1"/>
    <s v="MILAN"/>
    <s v="SI"/>
    <n v="432"/>
    <n v="468"/>
    <n v="0.52"/>
  </r>
  <r>
    <s v="COD-054"/>
    <x v="0"/>
    <n v="35"/>
    <x v="4"/>
    <n v="875"/>
    <s v="PROFESOR-002"/>
    <n v="420"/>
    <d v="2019-09-19T00:00:00"/>
    <x v="2"/>
    <s v="COMERCIAL-001"/>
    <n v="61.25"/>
    <s v="NO"/>
    <x v="2"/>
    <s v="PARIS"/>
    <s v="NO"/>
    <n v="481.25"/>
    <n v="393.75"/>
    <n v="0.45"/>
  </r>
  <r>
    <s v="COD-055"/>
    <x v="0"/>
    <n v="40"/>
    <x v="3"/>
    <n v="1000"/>
    <s v="PROFESOR-001"/>
    <n v="480"/>
    <d v="2019-01-02T00:00:00"/>
    <x v="2"/>
    <s v="COMERCIAL-002"/>
    <n v="70"/>
    <s v="NO"/>
    <x v="1"/>
    <s v="MILAN"/>
    <s v="SI"/>
    <n v="550"/>
    <n v="450"/>
    <n v="0.45"/>
  </r>
  <r>
    <s v="COD-056"/>
    <x v="0"/>
    <n v="40"/>
    <x v="2"/>
    <n v="1000"/>
    <s v="PROFESOR-004"/>
    <n v="480"/>
    <d v="2019-12-22T00:00:00"/>
    <x v="2"/>
    <s v="COMERCIAL-004"/>
    <n v="70"/>
    <s v="NO"/>
    <x v="0"/>
    <s v="VALLADOLID"/>
    <s v="SI"/>
    <n v="550"/>
    <n v="450"/>
    <n v="0.45"/>
  </r>
  <r>
    <s v="COD-057"/>
    <x v="3"/>
    <n v="35"/>
    <x v="3"/>
    <n v="875"/>
    <s v="PROFESOR-005"/>
    <n v="420"/>
    <d v="2019-12-18T00:00:00"/>
    <x v="2"/>
    <s v="COMERCIAL-001"/>
    <n v="43.75"/>
    <s v="NO"/>
    <x v="1"/>
    <s v="ROMA"/>
    <s v="NO"/>
    <n v="463.75"/>
    <n v="411.25"/>
    <n v="0.47"/>
  </r>
  <r>
    <s v="COD-058"/>
    <x v="5"/>
    <n v="45"/>
    <x v="5"/>
    <n v="3375"/>
    <s v="PROFESOR-002"/>
    <n v="540"/>
    <d v="2021-03-04T00:00:00"/>
    <x v="2"/>
    <s v="COMERCIAL-003"/>
    <n v="506.25"/>
    <s v="NO"/>
    <x v="2"/>
    <s v="MARSELLA"/>
    <s v="SI"/>
    <n v="1046.25"/>
    <n v="2328.75"/>
    <n v="0.69"/>
  </r>
  <r>
    <s v="COD-059"/>
    <x v="6"/>
    <n v="25"/>
    <x v="2"/>
    <n v="1500"/>
    <s v="PROFESOR-001"/>
    <n v="300"/>
    <d v="2019-12-30T00:00:00"/>
    <x v="1"/>
    <s v="COMERCIAL-002"/>
    <n v="180"/>
    <s v="NO"/>
    <x v="0"/>
    <s v="VALLADOLID"/>
    <s v="SI"/>
    <n v="480"/>
    <n v="1020"/>
    <n v="0.68"/>
  </r>
  <r>
    <s v="COD-060"/>
    <x v="6"/>
    <n v="20"/>
    <x v="6"/>
    <n v="1200"/>
    <s v="PROFESOR-004"/>
    <n v="240"/>
    <d v="2020-11-09T00:00:00"/>
    <x v="0"/>
    <s v="COMERCIAL-004"/>
    <n v="144"/>
    <s v="SI"/>
    <x v="0"/>
    <s v="VALLADOLID"/>
    <s v="SI"/>
    <n v="384"/>
    <n v="816"/>
    <n v="0.68"/>
  </r>
  <r>
    <s v="COD-061"/>
    <x v="6"/>
    <n v="10"/>
    <x v="4"/>
    <n v="600"/>
    <s v="PROFESOR-003"/>
    <n v="120"/>
    <d v="2019-10-01T00:00:00"/>
    <x v="1"/>
    <s v="COMERCIAL-003"/>
    <n v="72"/>
    <s v="NO"/>
    <x v="2"/>
    <s v="MARSELLA"/>
    <s v="SI"/>
    <n v="192"/>
    <n v="408"/>
    <n v="0.68"/>
  </r>
  <r>
    <s v="COD-062"/>
    <x v="2"/>
    <n v="12"/>
    <x v="5"/>
    <n v="480"/>
    <s v="PROFESOR-002"/>
    <n v="144"/>
    <d v="2021-03-18T00:00:00"/>
    <x v="0"/>
    <s v="COMERCIAL-002"/>
    <n v="48"/>
    <s v="NO"/>
    <x v="2"/>
    <s v="MARSELLA"/>
    <s v="SI"/>
    <n v="192"/>
    <n v="288"/>
    <n v="0.6"/>
  </r>
  <r>
    <s v="COD-063"/>
    <x v="2"/>
    <n v="15"/>
    <x v="7"/>
    <n v="600"/>
    <s v="PROFESOR-001"/>
    <n v="180"/>
    <d v="2019-03-23T00:00:00"/>
    <x v="0"/>
    <s v="COMERCIAL-004"/>
    <n v="60"/>
    <s v="SI"/>
    <x v="0"/>
    <s v="VALLADOLID"/>
    <s v="SI"/>
    <n v="240"/>
    <n v="360"/>
    <n v="0.6"/>
  </r>
  <r>
    <s v="COD-064"/>
    <x v="2"/>
    <n v="20"/>
    <x v="3"/>
    <n v="800"/>
    <s v="PROFESOR-001"/>
    <n v="240"/>
    <d v="2021-04-03T00:00:00"/>
    <x v="0"/>
    <s v="COMERCIAL-001"/>
    <n v="80"/>
    <s v="NO"/>
    <x v="1"/>
    <s v="MILAN"/>
    <s v="SI"/>
    <n v="320"/>
    <n v="480"/>
    <n v="0.6"/>
  </r>
  <r>
    <s v="COD-065"/>
    <x v="2"/>
    <n v="25"/>
    <x v="4"/>
    <n v="1000"/>
    <s v="PROFESOR-004"/>
    <n v="300"/>
    <d v="2019-04-10T00:00:00"/>
    <x v="0"/>
    <s v="COMERCIAL-003"/>
    <n v="100"/>
    <s v="SI"/>
    <x v="2"/>
    <s v="MARSELLA"/>
    <s v="SI"/>
    <n v="400"/>
    <n v="600"/>
    <n v="0.6"/>
  </r>
  <r>
    <s v="COD-066"/>
    <x v="1"/>
    <n v="30"/>
    <x v="5"/>
    <n v="900"/>
    <s v="PROFESOR-005"/>
    <n v="360"/>
    <d v="2020-03-11T00:00:00"/>
    <x v="1"/>
    <s v="COMERCIAL-002"/>
    <n v="72"/>
    <s v="SI"/>
    <x v="2"/>
    <s v="MARSELLA"/>
    <s v="SI"/>
    <n v="432"/>
    <n v="468"/>
    <n v="0.52"/>
  </r>
  <r>
    <s v="COD-067"/>
    <x v="1"/>
    <n v="40"/>
    <x v="2"/>
    <n v="1200"/>
    <s v="PROFESOR-002"/>
    <n v="480"/>
    <d v="2019-10-11T00:00:00"/>
    <x v="1"/>
    <s v="COMERCIAL-004"/>
    <n v="96"/>
    <s v="SI"/>
    <x v="0"/>
    <s v="VALLADOLID"/>
    <s v="SI"/>
    <n v="576"/>
    <n v="624"/>
    <n v="0.52"/>
  </r>
  <r>
    <s v="COD-068"/>
    <x v="1"/>
    <n v="35"/>
    <x v="6"/>
    <n v="1050"/>
    <s v="PROFESOR-001"/>
    <n v="420"/>
    <d v="2020-12-22T00:00:00"/>
    <x v="1"/>
    <s v="COMERCIAL-001"/>
    <n v="84"/>
    <s v="SI"/>
    <x v="0"/>
    <s v="VALLADOLID"/>
    <s v="SI"/>
    <n v="504"/>
    <n v="546"/>
    <n v="0.52"/>
  </r>
  <r>
    <s v="COD-069"/>
    <x v="0"/>
    <n v="45"/>
    <x v="6"/>
    <n v="1125"/>
    <s v="PROFESOR-004"/>
    <n v="540"/>
    <d v="2019-09-15T00:00:00"/>
    <x v="1"/>
    <s v="COMERCIAL-002"/>
    <n v="78.75"/>
    <s v="SI"/>
    <x v="0"/>
    <s v="VALLADOLID"/>
    <s v="SI"/>
    <n v="618.75"/>
    <n v="506.25"/>
    <n v="0.45"/>
  </r>
  <r>
    <s v="COD-070"/>
    <x v="0"/>
    <n v="18"/>
    <x v="5"/>
    <n v="450"/>
    <s v="PROFESOR-003"/>
    <n v="216"/>
    <d v="2021-10-02T00:00:00"/>
    <x v="2"/>
    <s v="COMERCIAL-004"/>
    <n v="31.5"/>
    <s v="SI"/>
    <x v="2"/>
    <s v="MARSELLA"/>
    <s v="SI"/>
    <n v="247.5"/>
    <n v="202.5"/>
    <n v="0.45"/>
  </r>
  <r>
    <s v="COD-071"/>
    <x v="0"/>
    <n v="10"/>
    <x v="4"/>
    <n v="250"/>
    <s v="PROFESOR-002"/>
    <n v="120"/>
    <d v="2021-05-28T00:00:00"/>
    <x v="2"/>
    <s v="COMERCIAL-001"/>
    <n v="17.5"/>
    <s v="SI"/>
    <x v="2"/>
    <s v="MARSELLA"/>
    <s v="SI"/>
    <n v="137.5"/>
    <n v="112.5"/>
    <n v="0.45"/>
  </r>
  <r>
    <s v="COD-072"/>
    <x v="0"/>
    <n v="45"/>
    <x v="7"/>
    <n v="1125"/>
    <s v="PROFESOR-001"/>
    <n v="540"/>
    <d v="2021-08-18T00:00:00"/>
    <x v="2"/>
    <s v="COMERCIAL-003"/>
    <n v="78.75"/>
    <s v="SI"/>
    <x v="0"/>
    <s v="VALLADOLID"/>
    <s v="SI"/>
    <n v="618.75"/>
    <n v="506.25"/>
    <n v="0.45"/>
  </r>
  <r>
    <s v="COD-073"/>
    <x v="1"/>
    <n v="25"/>
    <x v="7"/>
    <n v="750"/>
    <s v="PROFESOR-004"/>
    <n v="300"/>
    <d v="2019-05-30T00:00:00"/>
    <x v="1"/>
    <s v="COMERCIAL-002"/>
    <n v="60"/>
    <s v="SI"/>
    <x v="0"/>
    <s v="VALLADOLID"/>
    <s v="SI"/>
    <n v="360"/>
    <n v="390"/>
    <n v="0.52"/>
  </r>
  <r>
    <s v="COD-074"/>
    <x v="2"/>
    <n v="20"/>
    <x v="6"/>
    <n v="800"/>
    <s v="PROFESOR-005"/>
    <n v="240"/>
    <d v="2019-05-21T00:00:00"/>
    <x v="1"/>
    <s v="COMERCIAL-004"/>
    <n v="80"/>
    <s v="SI"/>
    <x v="0"/>
    <s v="VALLADOLID"/>
    <s v="SI"/>
    <n v="320"/>
    <n v="480"/>
    <n v="0.6"/>
  </r>
  <r>
    <s v="COD-075"/>
    <x v="0"/>
    <n v="10"/>
    <x v="4"/>
    <n v="250"/>
    <s v="PROFESOR-002"/>
    <n v="120"/>
    <d v="2019-01-28T00:00:00"/>
    <x v="1"/>
    <s v="COMERCIAL-003"/>
    <n v="17.5"/>
    <s v="SI"/>
    <x v="2"/>
    <s v="MARSELLA"/>
    <s v="SI"/>
    <n v="137.5"/>
    <n v="112.5"/>
    <n v="0.45"/>
  </r>
  <r>
    <s v="COD-076"/>
    <x v="0"/>
    <n v="12"/>
    <x v="3"/>
    <n v="300"/>
    <s v="PROFESOR-001"/>
    <n v="144"/>
    <d v="2020-10-10T00:00:00"/>
    <x v="1"/>
    <s v="COMERCIAL-002"/>
    <n v="21"/>
    <s v="SI"/>
    <x v="1"/>
    <s v="MILAN"/>
    <s v="SI"/>
    <n v="165"/>
    <n v="135"/>
    <n v="0.45"/>
  </r>
  <r>
    <s v="COD-077"/>
    <x v="0"/>
    <n v="15"/>
    <x v="4"/>
    <n v="375"/>
    <s v="PROFESOR-004"/>
    <n v="180"/>
    <d v="2021-10-12T00:00:00"/>
    <x v="2"/>
    <s v="COMERCIAL-004"/>
    <n v="26.25"/>
    <s v="SI"/>
    <x v="2"/>
    <s v="MARSELLA"/>
    <s v="SI"/>
    <n v="206.25"/>
    <n v="168.75"/>
    <n v="0.45"/>
  </r>
  <r>
    <s v="COD-078"/>
    <x v="1"/>
    <n v="20"/>
    <x v="2"/>
    <n v="600"/>
    <s v="PROFESOR-005"/>
    <n v="240"/>
    <d v="2020-08-31T00:00:00"/>
    <x v="0"/>
    <s v="COMERCIAL-001"/>
    <n v="48"/>
    <s v="NO"/>
    <x v="0"/>
    <s v="VALLADOLID"/>
    <s v="SI"/>
    <n v="288"/>
    <n v="312"/>
    <n v="0.52"/>
  </r>
  <r>
    <s v="COD-079"/>
    <x v="1"/>
    <n v="25"/>
    <x v="3"/>
    <n v="750"/>
    <s v="PROFESOR-002"/>
    <n v="300"/>
    <d v="2021-01-31T00:00:00"/>
    <x v="0"/>
    <s v="COMERCIAL-002"/>
    <n v="60"/>
    <s v="NO"/>
    <x v="1"/>
    <s v="MILAN"/>
    <s v="SI"/>
    <n v="360"/>
    <n v="390"/>
    <n v="0.52"/>
  </r>
  <r>
    <s v="COD-080"/>
    <x v="1"/>
    <n v="30"/>
    <x v="4"/>
    <n v="900"/>
    <s v="PROFESOR-001"/>
    <n v="360"/>
    <d v="2020-02-10T00:00:00"/>
    <x v="0"/>
    <s v="COMERCIAL-004"/>
    <n v="72"/>
    <s v="SI"/>
    <x v="2"/>
    <s v="MARSELLA"/>
    <s v="SI"/>
    <n v="432"/>
    <n v="468"/>
    <n v="0.52"/>
  </r>
  <r>
    <s v="COD-081"/>
    <x v="3"/>
    <n v="40"/>
    <x v="3"/>
    <n v="1000"/>
    <s v="PROFESOR-004"/>
    <n v="480"/>
    <d v="2019-02-27T00:00:00"/>
    <x v="0"/>
    <s v="COMERCIAL-001"/>
    <n v="50"/>
    <s v="NO"/>
    <x v="1"/>
    <s v="MILAN"/>
    <s v="SI"/>
    <n v="530"/>
    <n v="470"/>
    <n v="0.47"/>
  </r>
  <r>
    <s v="COD-082"/>
    <x v="4"/>
    <n v="35"/>
    <x v="2"/>
    <n v="875"/>
    <s v="PROFESOR-005"/>
    <n v="420"/>
    <d v="2021-03-25T00:00:00"/>
    <x v="1"/>
    <s v="COMERCIAL-003"/>
    <n v="43.75"/>
    <s v="SI"/>
    <x v="0"/>
    <s v="VALLADOLID"/>
    <s v="SI"/>
    <n v="463.75"/>
    <n v="411.25"/>
    <n v="0.47"/>
  </r>
  <r>
    <s v="COD-083"/>
    <x v="4"/>
    <n v="45"/>
    <x v="3"/>
    <n v="1125"/>
    <s v="PROFESOR-002"/>
    <n v="540"/>
    <d v="2019-05-29T00:00:00"/>
    <x v="1"/>
    <s v="COMERCIAL-002"/>
    <n v="56.25"/>
    <s v="SI"/>
    <x v="1"/>
    <s v="MILAN"/>
    <s v="SI"/>
    <n v="596.25"/>
    <n v="528.75"/>
    <n v="0.47"/>
  </r>
  <r>
    <s v="COD-084"/>
    <x v="4"/>
    <n v="18"/>
    <x v="5"/>
    <n v="450"/>
    <s v="PROFESOR-001"/>
    <n v="216"/>
    <d v="2021-01-01T00:00:00"/>
    <x v="1"/>
    <s v="COMERCIAL-004"/>
    <n v="22.5"/>
    <s v="SI"/>
    <x v="2"/>
    <s v="PARIS"/>
    <s v="SI"/>
    <n v="238.5"/>
    <n v="211.5"/>
    <n v="0.47"/>
  </r>
  <r>
    <s v="COD-085"/>
    <x v="3"/>
    <n v="10"/>
    <x v="0"/>
    <n v="250"/>
    <s v="PROFESOR-004"/>
    <n v="120"/>
    <d v="2021-05-22T00:00:00"/>
    <x v="1"/>
    <s v="COMERCIAL-001"/>
    <n v="12.5"/>
    <s v="SI"/>
    <x v="0"/>
    <s v="VALLADOLID"/>
    <s v="NO"/>
    <n v="132.5"/>
    <n v="117.5"/>
    <n v="0.47"/>
  </r>
  <r>
    <s v="COD-086"/>
    <x v="5"/>
    <n v="12"/>
    <x v="1"/>
    <n v="900"/>
    <s v="PROFESOR-003"/>
    <n v="144"/>
    <d v="2019-08-10T00:00:00"/>
    <x v="2"/>
    <s v="COMERCIAL-003"/>
    <n v="135"/>
    <s v="SI"/>
    <x v="1"/>
    <s v="MILAN"/>
    <s v="NO"/>
    <n v="279"/>
    <n v="621"/>
    <n v="0.69"/>
  </r>
  <r>
    <s v="COD-087"/>
    <x v="6"/>
    <n v="15"/>
    <x v="2"/>
    <n v="900"/>
    <s v="PROFESOR-002"/>
    <n v="180"/>
    <d v="2021-05-07T00:00:00"/>
    <x v="2"/>
    <s v="COMERCIAL-002"/>
    <n v="108"/>
    <s v="SI"/>
    <x v="0"/>
    <s v="MADRID"/>
    <s v="SI"/>
    <n v="288"/>
    <n v="612"/>
    <n v="0.68"/>
  </r>
  <r>
    <s v="COD-088"/>
    <x v="6"/>
    <n v="25"/>
    <x v="3"/>
    <n v="1500"/>
    <s v="PROFESOR-001"/>
    <n v="300"/>
    <d v="2019-04-07T00:00:00"/>
    <x v="2"/>
    <s v="COMERCIAL-004"/>
    <n v="180"/>
    <s v="SI"/>
    <x v="1"/>
    <s v="MILAN"/>
    <s v="SI"/>
    <n v="480"/>
    <n v="1020"/>
    <n v="0.68"/>
  </r>
  <r>
    <s v="COD-089"/>
    <x v="0"/>
    <n v="15"/>
    <x v="4"/>
    <n v="375"/>
    <s v="PROFESOR-004"/>
    <n v="180"/>
    <d v="2019-12-04T00:00:00"/>
    <x v="1"/>
    <s v="COMERCIAL-001"/>
    <n v="26.25"/>
    <s v="SI"/>
    <x v="2"/>
    <s v="PARIS"/>
    <s v="NO"/>
    <n v="206.25"/>
    <n v="168.75"/>
    <n v="0.45"/>
  </r>
  <r>
    <s v="COD-090"/>
    <x v="1"/>
    <n v="10"/>
    <x v="3"/>
    <n v="300"/>
    <s v="PROFESOR-005"/>
    <n v="120"/>
    <d v="2019-10-21T00:00:00"/>
    <x v="1"/>
    <s v="COMERCIAL-002"/>
    <n v="24"/>
    <s v="SI"/>
    <x v="1"/>
    <s v="MILAN"/>
    <s v="SI"/>
    <n v="144"/>
    <n v="156"/>
    <n v="0.52"/>
  </r>
  <r>
    <s v="COD-091"/>
    <x v="1"/>
    <n v="12"/>
    <x v="2"/>
    <n v="360"/>
    <s v="PROFESOR-002"/>
    <n v="144"/>
    <d v="2019-04-14T00:00:00"/>
    <x v="1"/>
    <s v="COMERCIAL-004"/>
    <n v="28.8"/>
    <s v="SI"/>
    <x v="0"/>
    <s v="MADRID"/>
    <s v="SI"/>
    <n v="172.8"/>
    <n v="187.2"/>
    <n v="0.52"/>
  </r>
  <r>
    <s v="COD-092"/>
    <x v="1"/>
    <n v="15"/>
    <x v="3"/>
    <n v="450"/>
    <s v="PROFESOR-001"/>
    <n v="180"/>
    <d v="2020-08-20T00:00:00"/>
    <x v="1"/>
    <s v="COMERCIAL-001"/>
    <n v="36"/>
    <s v="SI"/>
    <x v="1"/>
    <s v="MILAN"/>
    <s v="NO"/>
    <n v="216"/>
    <n v="234"/>
    <n v="0.52"/>
  </r>
  <r>
    <s v="COD-093"/>
    <x v="3"/>
    <n v="25"/>
    <x v="5"/>
    <n v="625"/>
    <s v="PROFESOR-004"/>
    <n v="300"/>
    <d v="2021-08-12T00:00:00"/>
    <x v="2"/>
    <s v="COMERCIAL-003"/>
    <n v="31.25"/>
    <s v="SI"/>
    <x v="2"/>
    <s v="PARIS"/>
    <s v="NO"/>
    <n v="331.25"/>
    <n v="293.75"/>
    <n v="0.47"/>
  </r>
  <r>
    <s v="COD-094"/>
    <x v="4"/>
    <n v="15"/>
    <x v="2"/>
    <n v="375"/>
    <s v="PROFESOR-005"/>
    <n v="180"/>
    <d v="2021-02-05T00:00:00"/>
    <x v="2"/>
    <s v="COMERCIAL-002"/>
    <n v="18.75"/>
    <s v="SI"/>
    <x v="0"/>
    <s v="VALENCIA"/>
    <s v="SI"/>
    <n v="198.75"/>
    <n v="176.25"/>
    <n v="0.47"/>
  </r>
  <r>
    <s v="COD-095"/>
    <x v="4"/>
    <n v="20"/>
    <x v="6"/>
    <n v="500"/>
    <s v="PROFESOR-002"/>
    <n v="240"/>
    <d v="2020-01-27T00:00:00"/>
    <x v="2"/>
    <s v="COMERCIAL-004"/>
    <n v="25"/>
    <s v="SI"/>
    <x v="0"/>
    <s v="VALENCIA"/>
    <s v="SI"/>
    <n v="265"/>
    <n v="235"/>
    <n v="0.47"/>
  </r>
  <r>
    <s v="COD-096"/>
    <x v="4"/>
    <n v="20"/>
    <x v="4"/>
    <n v="500"/>
    <s v="PROFESOR-001"/>
    <n v="240"/>
    <d v="2020-07-18T00:00:00"/>
    <x v="2"/>
    <s v="COMERCIAL-003"/>
    <n v="25"/>
    <s v="NO"/>
    <x v="2"/>
    <s v="PARIS"/>
    <s v="NO"/>
    <n v="265"/>
    <n v="235"/>
    <n v="0.47"/>
  </r>
  <r>
    <s v="COD-097"/>
    <x v="3"/>
    <n v="30"/>
    <x v="5"/>
    <n v="750"/>
    <s v="PROFESOR-004"/>
    <n v="360"/>
    <d v="2020-07-30T00:00:00"/>
    <x v="2"/>
    <s v="COMERCIAL-002"/>
    <n v="37.5"/>
    <s v="NO"/>
    <x v="2"/>
    <s v="PARIS"/>
    <s v="SI"/>
    <n v="397.5"/>
    <n v="352.5"/>
    <n v="0.47"/>
  </r>
  <r>
    <s v="COD-098"/>
    <x v="5"/>
    <n v="35"/>
    <x v="7"/>
    <n v="2625"/>
    <s v="PROFESOR-003"/>
    <n v="420"/>
    <d v="2020-06-14T00:00:00"/>
    <x v="1"/>
    <s v="COMERCIAL-004"/>
    <n v="393.75"/>
    <s v="SI"/>
    <x v="0"/>
    <s v="VALENCIA"/>
    <s v="SI"/>
    <n v="813.75"/>
    <n v="1811.25"/>
    <n v="0.69"/>
  </r>
  <r>
    <s v="COD-099"/>
    <x v="6"/>
    <n v="40"/>
    <x v="3"/>
    <n v="2400"/>
    <s v="PROFESOR-002"/>
    <n v="480"/>
    <d v="2021-07-24T00:00:00"/>
    <x v="0"/>
    <s v="COMERCIAL-001"/>
    <n v="288"/>
    <s v="NO"/>
    <x v="1"/>
    <s v="MILAN"/>
    <s v="NO"/>
    <n v="768"/>
    <n v="1632"/>
    <n v="0.68"/>
  </r>
  <r>
    <s v="COD-100"/>
    <x v="6"/>
    <n v="40"/>
    <x v="4"/>
    <n v="2400"/>
    <s v="PROFESOR-001"/>
    <n v="480"/>
    <d v="2020-08-02T00:00:00"/>
    <x v="1"/>
    <s v="COMERCIAL-003"/>
    <n v="288"/>
    <s v="SI"/>
    <x v="2"/>
    <s v="PARIS"/>
    <s v="SI"/>
    <n v="768"/>
    <n v="1632"/>
    <n v="0.68"/>
  </r>
  <r>
    <s v="COD-101"/>
    <x v="6"/>
    <n v="35"/>
    <x v="5"/>
    <n v="2100"/>
    <s v="PROFESOR-001"/>
    <n v="420"/>
    <d v="2021-01-09T00:00:00"/>
    <x v="0"/>
    <s v="COMERCIAL-002"/>
    <n v="252"/>
    <s v="SI"/>
    <x v="2"/>
    <s v="PARIS"/>
    <s v="SI"/>
    <n v="672"/>
    <n v="1428"/>
    <n v="0.68"/>
  </r>
  <r>
    <s v="COD-102"/>
    <x v="2"/>
    <n v="15"/>
    <x v="2"/>
    <n v="600"/>
    <s v="PROFESOR-004"/>
    <n v="180"/>
    <d v="2019-11-15T00:00:00"/>
    <x v="0"/>
    <s v="COMERCIAL-004"/>
    <n v="60"/>
    <s v="SI"/>
    <x v="0"/>
    <s v="VALENCIA"/>
    <s v="SI"/>
    <n v="240"/>
    <n v="360"/>
    <n v="0.6"/>
  </r>
  <r>
    <s v="COD-103"/>
    <x v="2"/>
    <n v="20"/>
    <x v="6"/>
    <n v="800"/>
    <s v="PROFESOR-005"/>
    <n v="240"/>
    <d v="2021-12-15T00:00:00"/>
    <x v="0"/>
    <s v="COMERCIAL-001"/>
    <n v="80"/>
    <s v="SI"/>
    <x v="0"/>
    <s v="VALLADOLID"/>
    <s v="SI"/>
    <n v="320"/>
    <n v="480"/>
    <n v="0.6"/>
  </r>
  <r>
    <s v="COD-104"/>
    <x v="2"/>
    <n v="18"/>
    <x v="6"/>
    <n v="720"/>
    <s v="PROFESOR-002"/>
    <n v="216"/>
    <d v="2020-04-10T00:00:00"/>
    <x v="0"/>
    <s v="COMERCIAL-002"/>
    <n v="72"/>
    <s v="SI"/>
    <x v="0"/>
    <s v="VALLADOLID"/>
    <s v="SI"/>
    <n v="288"/>
    <n v="432"/>
    <n v="0.6"/>
  </r>
  <r>
    <s v="COD-105"/>
    <x v="2"/>
    <n v="25"/>
    <x v="5"/>
    <n v="1000"/>
    <s v="PROFESOR-001"/>
    <n v="300"/>
    <d v="2019-10-31T00:00:00"/>
    <x v="1"/>
    <s v="COMERCIAL-004"/>
    <n v="100"/>
    <s v="NO"/>
    <x v="2"/>
    <s v="MARSELLA"/>
    <s v="SI"/>
    <n v="400"/>
    <n v="600"/>
    <n v="0.6"/>
  </r>
  <r>
    <s v="COD-106"/>
    <x v="1"/>
    <n v="20"/>
    <x v="4"/>
    <n v="600"/>
    <s v="PROFESOR-004"/>
    <n v="240"/>
    <d v="2021-07-22T00:00:00"/>
    <x v="1"/>
    <s v="COMERCIAL-001"/>
    <n v="48"/>
    <s v="NO"/>
    <x v="2"/>
    <s v="MARSELLA"/>
    <s v="SI"/>
    <n v="288"/>
    <n v="312"/>
    <n v="0.52"/>
  </r>
  <r>
    <s v="COD-107"/>
    <x v="3"/>
    <n v="10"/>
    <x v="7"/>
    <n v="300"/>
    <s v="PROFESOR-003"/>
    <n v="120"/>
    <d v="2021-01-01T00:00:00"/>
    <x v="1"/>
    <s v="COMERCIAL-003"/>
    <n v="24"/>
    <s v="SI"/>
    <x v="0"/>
    <s v="VALLADOLID"/>
    <s v="SI"/>
    <n v="144"/>
    <n v="156"/>
    <n v="0.52"/>
  </r>
  <r>
    <s v="COD-108"/>
    <x v="4"/>
    <n v="12"/>
    <x v="7"/>
    <n v="360"/>
    <s v="PROFESOR-002"/>
    <n v="144"/>
    <d v="2021-04-12T00:00:00"/>
    <x v="1"/>
    <s v="COMERCIAL-002"/>
    <n v="28.8"/>
    <s v="SI"/>
    <x v="0"/>
    <s v="VALLADOLID"/>
    <s v="SI"/>
    <n v="172.8"/>
    <n v="187.2"/>
    <n v="0.52"/>
  </r>
  <r>
    <s v="COD-109"/>
    <x v="4"/>
    <n v="15"/>
    <x v="6"/>
    <n v="375"/>
    <s v="PROFESOR-001"/>
    <n v="180"/>
    <d v="2020-05-17T00:00:00"/>
    <x v="2"/>
    <s v="COMERCIAL-004"/>
    <n v="26.25"/>
    <s v="SI"/>
    <x v="0"/>
    <s v="VALLADOLID"/>
    <s v="SI"/>
    <n v="206.25"/>
    <n v="168.75"/>
    <n v="0.45"/>
  </r>
  <r>
    <s v="COD-110"/>
    <x v="4"/>
    <n v="20"/>
    <x v="4"/>
    <n v="500"/>
    <s v="PROFESOR-004"/>
    <n v="240"/>
    <d v="2021-11-06T00:00:00"/>
    <x v="2"/>
    <s v="COMERCIAL-003"/>
    <n v="35"/>
    <s v="NO"/>
    <x v="2"/>
    <s v="MARSELLA"/>
    <s v="NO"/>
    <n v="275"/>
    <n v="225"/>
    <n v="0.45"/>
  </r>
  <r>
    <s v="COD-111"/>
    <x v="3"/>
    <n v="25"/>
    <x v="3"/>
    <n v="625"/>
    <s v="PROFESOR-005"/>
    <n v="300"/>
    <d v="2019-04-18T00:00:00"/>
    <x v="2"/>
    <s v="COMERCIAL-002"/>
    <n v="43.75"/>
    <s v="SI"/>
    <x v="1"/>
    <s v="MILAN"/>
    <s v="SI"/>
    <n v="343.75"/>
    <n v="281.25"/>
    <n v="0.45"/>
  </r>
  <r>
    <s v="COD-112"/>
    <x v="5"/>
    <n v="30"/>
    <x v="4"/>
    <n v="750"/>
    <s v="PROFESOR-002"/>
    <n v="360"/>
    <d v="2020-11-04T00:00:00"/>
    <x v="1"/>
    <s v="COMERCIAL-004"/>
    <n v="52.5"/>
    <s v="SI"/>
    <x v="2"/>
    <s v="MARSELLA"/>
    <s v="SI"/>
    <n v="412.5"/>
    <n v="337.5"/>
    <n v="0.45"/>
  </r>
  <r>
    <s v="COD-113"/>
    <x v="6"/>
    <n v="40"/>
    <x v="2"/>
    <n v="1200"/>
    <s v="PROFESOR-001"/>
    <n v="480"/>
    <d v="2021-09-15T00:00:00"/>
    <x v="1"/>
    <s v="COMERCIAL-001"/>
    <n v="96"/>
    <s v="NO"/>
    <x v="0"/>
    <s v="VALENCIA"/>
    <s v="NO"/>
    <n v="576"/>
    <n v="624"/>
    <n v="0.52"/>
  </r>
  <r>
    <s v="COD-114"/>
    <x v="6"/>
    <n v="35"/>
    <x v="3"/>
    <n v="1400"/>
    <s v="PROFESOR-004"/>
    <n v="420"/>
    <d v="2020-05-22T00:00:00"/>
    <x v="1"/>
    <s v="COMERCIAL-002"/>
    <n v="140"/>
    <s v="NO"/>
    <x v="1"/>
    <s v="MILAN"/>
    <s v="SI"/>
    <n v="560"/>
    <n v="840"/>
    <n v="0.6"/>
  </r>
  <r>
    <s v="COD-115"/>
    <x v="6"/>
    <n v="45"/>
    <x v="4"/>
    <n v="1125"/>
    <s v="PROFESOR-005"/>
    <n v="540"/>
    <d v="2019-10-03T00:00:00"/>
    <x v="1"/>
    <s v="COMERCIAL-004"/>
    <n v="78.75"/>
    <s v="NO"/>
    <x v="2"/>
    <s v="MARSELLA"/>
    <s v="SI"/>
    <n v="618.75"/>
    <n v="506.25"/>
    <n v="0.45"/>
  </r>
  <r>
    <s v="COD-116"/>
    <x v="2"/>
    <n v="18"/>
    <x v="3"/>
    <n v="450"/>
    <s v="PROFESOR-002"/>
    <n v="216"/>
    <d v="2020-01-26T00:00:00"/>
    <x v="2"/>
    <s v="COMERCIAL-001"/>
    <n v="31.5"/>
    <s v="NO"/>
    <x v="1"/>
    <s v="MILAN"/>
    <s v="NO"/>
    <n v="247.5"/>
    <n v="202.5"/>
    <n v="0.45"/>
  </r>
  <r>
    <s v="COD-117"/>
    <x v="2"/>
    <n v="10"/>
    <x v="2"/>
    <n v="250"/>
    <s v="PROFESOR-001"/>
    <n v="120"/>
    <d v="2021-06-19T00:00:00"/>
    <x v="2"/>
    <s v="COMERCIAL-003"/>
    <n v="17.5"/>
    <s v="NO"/>
    <x v="0"/>
    <s v="MADRID"/>
    <s v="NO"/>
    <n v="137.5"/>
    <n v="112.5"/>
    <n v="0.45"/>
  </r>
  <r>
    <s v="COD-118"/>
    <x v="2"/>
    <n v="12"/>
    <x v="3"/>
    <n v="360"/>
    <s v="PROFESOR-003"/>
    <n v="144"/>
    <d v="2019-11-16T00:00:00"/>
    <x v="2"/>
    <s v="COMERCIAL-002"/>
    <n v="28.8"/>
    <s v="SI"/>
    <x v="1"/>
    <s v="MILAN"/>
    <s v="SI"/>
    <n v="172.8"/>
    <n v="187.2"/>
    <n v="0.52"/>
  </r>
  <r>
    <s v="COD-119"/>
    <x v="2"/>
    <n v="15"/>
    <x v="5"/>
    <n v="450"/>
    <s v="PROFESOR-002"/>
    <n v="180"/>
    <d v="2019-11-10T00:00:00"/>
    <x v="2"/>
    <s v="COMERCIAL-004"/>
    <n v="36"/>
    <s v="NO"/>
    <x v="2"/>
    <s v="MARSELLA"/>
    <s v="SI"/>
    <n v="216"/>
    <n v="234"/>
    <n v="0.52"/>
  </r>
  <r>
    <s v="COD-120"/>
    <x v="1"/>
    <n v="25"/>
    <x v="2"/>
    <n v="750"/>
    <s v="PROFESOR-001"/>
    <n v="300"/>
    <d v="2019-11-27T00:00:00"/>
    <x v="2"/>
    <s v="COMERCIAL-003"/>
    <n v="60"/>
    <s v="SI"/>
    <x v="0"/>
    <s v="VALENCIA"/>
    <s v="NO"/>
    <n v="360"/>
    <n v="390"/>
    <n v="0.52"/>
  </r>
  <r>
    <s v="COD-121"/>
    <x v="1"/>
    <n v="15"/>
    <x v="6"/>
    <n v="375"/>
    <s v="PROFESOR-004"/>
    <n v="180"/>
    <d v="2021-12-01T00:00:00"/>
    <x v="1"/>
    <s v="COMERCIAL-002"/>
    <n v="18.75"/>
    <s v="SI"/>
    <x v="0"/>
    <s v="VALENCIA"/>
    <s v="SI"/>
    <n v="198.75"/>
    <n v="176.25"/>
    <n v="0.47"/>
  </r>
  <r>
    <s v="COD-122"/>
    <x v="1"/>
    <n v="20"/>
    <x v="4"/>
    <n v="500"/>
    <s v="PROFESOR-005"/>
    <n v="240"/>
    <d v="2019-05-13T00:00:00"/>
    <x v="2"/>
    <s v="COMERCIAL-004"/>
    <n v="25"/>
    <s v="SI"/>
    <x v="2"/>
    <s v="MARSELLA"/>
    <s v="SI"/>
    <n v="265"/>
    <n v="235"/>
    <n v="0.47"/>
  </r>
  <r>
    <s v="COD-123"/>
    <x v="0"/>
    <n v="20"/>
    <x v="5"/>
    <n v="500"/>
    <s v="PROFESOR-002"/>
    <n v="240"/>
    <d v="2020-10-13T00:00:00"/>
    <x v="2"/>
    <s v="COMERCIAL-001"/>
    <n v="25"/>
    <s v="SI"/>
    <x v="2"/>
    <s v="MARSELLA"/>
    <s v="NO"/>
    <n v="265"/>
    <n v="235"/>
    <n v="0.47"/>
  </r>
  <r>
    <s v="COD-124"/>
    <x v="0"/>
    <n v="30"/>
    <x v="7"/>
    <n v="750"/>
    <s v="PROFESOR-001"/>
    <n v="360"/>
    <d v="2019-01-30T00:00:00"/>
    <x v="2"/>
    <s v="COMERCIAL-003"/>
    <n v="37.5"/>
    <s v="SI"/>
    <x v="0"/>
    <s v="MADRID"/>
    <s v="NO"/>
    <n v="397.5"/>
    <n v="352.5"/>
    <n v="0.47"/>
  </r>
  <r>
    <s v="COD-125"/>
    <x v="2"/>
    <n v="35"/>
    <x v="3"/>
    <n v="875"/>
    <s v="PROFESOR-004"/>
    <n v="420"/>
    <d v="2019-01-12T00:00:00"/>
    <x v="1"/>
    <s v="COMERCIAL-002"/>
    <n v="43.75"/>
    <s v="SI"/>
    <x v="1"/>
    <s v="MILAN"/>
    <s v="SI"/>
    <n v="463.75"/>
    <n v="411.25"/>
    <n v="0.47"/>
  </r>
  <r>
    <s v="COD-126"/>
    <x v="2"/>
    <n v="40"/>
    <x v="4"/>
    <n v="3000"/>
    <s v="PROFESOR-003"/>
    <n v="480"/>
    <d v="2021-09-16T00:00:00"/>
    <x v="1"/>
    <s v="COMERCIAL-004"/>
    <n v="450"/>
    <s v="SI"/>
    <x v="2"/>
    <s v="MARSELLA"/>
    <s v="SI"/>
    <n v="930"/>
    <n v="2070"/>
    <n v="0.69"/>
  </r>
  <r>
    <s v="COD-127"/>
    <x v="1"/>
    <n v="40"/>
    <x v="5"/>
    <n v="2400"/>
    <s v="PROFESOR-002"/>
    <n v="480"/>
    <d v="2021-06-28T00:00:00"/>
    <x v="1"/>
    <s v="COMERCIAL-001"/>
    <n v="288"/>
    <s v="SI"/>
    <x v="2"/>
    <s v="MARSELLA"/>
    <s v="NO"/>
    <n v="768"/>
    <n v="1632"/>
    <n v="0.68"/>
  </r>
  <r>
    <s v="COD-128"/>
    <x v="1"/>
    <n v="35"/>
    <x v="2"/>
    <n v="2100"/>
    <s v="PROFESOR-001"/>
    <n v="420"/>
    <d v="2021-05-08T00:00:00"/>
    <x v="1"/>
    <s v="COMERCIAL-002"/>
    <n v="252"/>
    <s v="SI"/>
    <x v="0"/>
    <s v="VALLADOLID"/>
    <s v="SI"/>
    <n v="672"/>
    <n v="1428"/>
    <n v="0.68"/>
  </r>
  <r>
    <s v="COD-129"/>
    <x v="1"/>
    <n v="45"/>
    <x v="6"/>
    <n v="2700"/>
    <s v="PROFESOR-004"/>
    <n v="540"/>
    <d v="2020-03-11T00:00:00"/>
    <x v="2"/>
    <s v="COMERCIAL-004"/>
    <n v="324"/>
    <s v="SI"/>
    <x v="0"/>
    <s v="MADRID"/>
    <s v="SI"/>
    <n v="864"/>
    <n v="1836"/>
    <n v="0.68"/>
  </r>
  <r>
    <s v="COD-130"/>
    <x v="0"/>
    <n v="25"/>
    <x v="6"/>
    <n v="1000"/>
    <s v="PROFESOR-005"/>
    <n v="300"/>
    <d v="2019-01-15T00:00:00"/>
    <x v="2"/>
    <s v="COMERCIAL-001"/>
    <n v="100"/>
    <s v="SI"/>
    <x v="0"/>
    <s v="MADRID"/>
    <s v="NO"/>
    <n v="400"/>
    <n v="600"/>
    <n v="0.6"/>
  </r>
  <r>
    <s v="COD-131"/>
    <x v="0"/>
    <n v="20"/>
    <x v="5"/>
    <n v="500"/>
    <s v="PROFESOR-002"/>
    <n v="240"/>
    <d v="2019-09-02T00:00:00"/>
    <x v="2"/>
    <s v="COMERCIAL-003"/>
    <n v="35"/>
    <s v="SI"/>
    <x v="2"/>
    <s v="MARSELLA"/>
    <s v="NO"/>
    <n v="275"/>
    <n v="225"/>
    <n v="0.45"/>
  </r>
  <r>
    <s v="COD-132"/>
    <x v="0"/>
    <n v="10"/>
    <x v="4"/>
    <n v="250"/>
    <s v="PROFESOR-001"/>
    <n v="120"/>
    <d v="2020-06-01T00:00:00"/>
    <x v="2"/>
    <s v="COMERCIAL-003"/>
    <n v="17.5"/>
    <s v="SI"/>
    <x v="2"/>
    <s v="MARSELLA"/>
    <s v="NO"/>
    <n v="137.5"/>
    <n v="112.5"/>
    <n v="0.45"/>
  </r>
  <r>
    <s v="COD-133"/>
    <x v="3"/>
    <n v="12"/>
    <x v="7"/>
    <n v="300"/>
    <s v="PROFESOR-003"/>
    <n v="144"/>
    <d v="2019-11-25T00:00:00"/>
    <x v="2"/>
    <s v="COMERCIAL-002"/>
    <n v="21"/>
    <s v="SI"/>
    <x v="0"/>
    <s v="MADRID"/>
    <s v="SI"/>
    <n v="165"/>
    <n v="135"/>
    <n v="0.45"/>
  </r>
  <r>
    <s v="COD-134"/>
    <x v="5"/>
    <n v="15"/>
    <x v="3"/>
    <n v="450"/>
    <s v="PROFESOR-002"/>
    <n v="180"/>
    <d v="2019-05-02T00:00:00"/>
    <x v="1"/>
    <s v="COMERCIAL-004"/>
    <n v="36"/>
    <s v="NO"/>
    <x v="1"/>
    <s v="MILAN"/>
    <s v="SI"/>
    <n v="216"/>
    <n v="234"/>
    <n v="0.52"/>
  </r>
  <r>
    <s v="COD-135"/>
    <x v="6"/>
    <n v="20"/>
    <x v="4"/>
    <n v="600"/>
    <s v="PROFESOR-001"/>
    <n v="240"/>
    <d v="2019-01-18T00:00:00"/>
    <x v="0"/>
    <s v="COMERCIAL-001"/>
    <n v="48"/>
    <s v="NO"/>
    <x v="2"/>
    <s v="MARSELLA"/>
    <s v="NO"/>
    <n v="288"/>
    <n v="312"/>
    <n v="0.52"/>
  </r>
  <r>
    <s v="COD-136"/>
    <x v="6"/>
    <n v="25"/>
    <x v="3"/>
    <n v="750"/>
    <s v="PROFESOR-004"/>
    <n v="300"/>
    <d v="2021-09-30T00:00:00"/>
    <x v="1"/>
    <s v="COMERCIAL-002"/>
    <n v="60"/>
    <s v="NO"/>
    <x v="1"/>
    <s v="MILAN"/>
    <s v="SI"/>
    <n v="360"/>
    <n v="390"/>
    <n v="0.52"/>
  </r>
  <r>
    <s v="COD-137"/>
    <x v="6"/>
    <n v="30"/>
    <x v="2"/>
    <n v="750"/>
    <s v="PROFESOR-005"/>
    <n v="360"/>
    <d v="2021-11-02T00:00:00"/>
    <x v="0"/>
    <s v="COMERCIAL-004"/>
    <n v="37.5"/>
    <s v="NO"/>
    <x v="0"/>
    <s v="VALLADOLID"/>
    <s v="SI"/>
    <n v="397.5"/>
    <n v="352.5"/>
    <n v="0.47"/>
  </r>
  <r>
    <s v="COD-138"/>
    <x v="2"/>
    <n v="40"/>
    <x v="3"/>
    <n v="1000"/>
    <s v="PROFESOR-002"/>
    <n v="480"/>
    <d v="2020-06-03T00:00:00"/>
    <x v="0"/>
    <s v="COMERCIAL-001"/>
    <n v="50"/>
    <s v="SI"/>
    <x v="1"/>
    <s v="MILAN"/>
    <s v="SI"/>
    <n v="530"/>
    <n v="470"/>
    <n v="0.47"/>
  </r>
  <r>
    <s v="COD-139"/>
    <x v="2"/>
    <n v="35"/>
    <x v="5"/>
    <n v="875"/>
    <s v="PROFESOR-001"/>
    <n v="420"/>
    <d v="2020-03-22T00:00:00"/>
    <x v="0"/>
    <s v="COMERCIAL-003"/>
    <n v="43.75"/>
    <s v="SI"/>
    <x v="2"/>
    <s v="PARIS"/>
    <s v="SI"/>
    <n v="463.75"/>
    <n v="411.25"/>
    <n v="0.47"/>
  </r>
  <r>
    <s v="COD-140"/>
    <x v="2"/>
    <n v="45"/>
    <x v="2"/>
    <n v="1125"/>
    <s v="PROFESOR-004"/>
    <n v="540"/>
    <d v="2020-04-13T00:00:00"/>
    <x v="0"/>
    <s v="COMERCIAL-002"/>
    <n v="56.25"/>
    <s v="SI"/>
    <x v="0"/>
    <s v="VALLADOLID"/>
    <s v="SI"/>
    <n v="596.25"/>
    <n v="528.75"/>
    <n v="0.47"/>
  </r>
  <r>
    <s v="COD-141"/>
    <x v="2"/>
    <n v="18"/>
    <x v="6"/>
    <n v="450"/>
    <s v="PROFESOR-003"/>
    <n v="216"/>
    <d v="2020-09-23T00:00:00"/>
    <x v="1"/>
    <s v="COMERCIAL-004"/>
    <n v="22.5"/>
    <s v="SI"/>
    <x v="0"/>
    <s v="VALLADOLID"/>
    <s v="SI"/>
    <n v="238.5"/>
    <n v="211.5"/>
    <n v="0.47"/>
  </r>
  <r>
    <s v="COD-142"/>
    <x v="1"/>
    <n v="10"/>
    <x v="4"/>
    <n v="750"/>
    <s v="PROFESOR-002"/>
    <n v="120"/>
    <d v="2021-09-28T00:00:00"/>
    <x v="1"/>
    <s v="COMERCIAL-003"/>
    <n v="112.5"/>
    <s v="NO"/>
    <x v="2"/>
    <s v="PARIS"/>
    <s v="SI"/>
    <n v="232.5"/>
    <n v="517.5"/>
    <n v="0.69"/>
  </r>
  <r>
    <s v="COD-143"/>
    <x v="1"/>
    <n v="12"/>
    <x v="5"/>
    <n v="720"/>
    <s v="PROFESOR-001"/>
    <n v="144"/>
    <d v="2020-02-13T00:00:00"/>
    <x v="0"/>
    <s v="COMERCIAL-002"/>
    <n v="86.4"/>
    <s v="NO"/>
    <x v="2"/>
    <s v="PARIS"/>
    <s v="SI"/>
    <n v="230.4"/>
    <n v="489.6"/>
    <n v="0.68"/>
  </r>
  <r>
    <s v="COD-144"/>
    <x v="1"/>
    <n v="15"/>
    <x v="7"/>
    <n v="900"/>
    <s v="PROFESOR-004"/>
    <n v="180"/>
    <d v="2021-11-13T00:00:00"/>
    <x v="1"/>
    <s v="COMERCIAL-004"/>
    <n v="108"/>
    <s v="SI"/>
    <x v="0"/>
    <s v="MADRID"/>
    <s v="SI"/>
    <n v="288"/>
    <n v="612"/>
    <n v="0.68"/>
  </r>
  <r>
    <s v="COD-145"/>
    <x v="0"/>
    <n v="25"/>
    <x v="3"/>
    <n v="1500"/>
    <s v="PROFESOR-005"/>
    <n v="300"/>
    <d v="2021-04-17T00:00:00"/>
    <x v="0"/>
    <s v="COMERCIAL-001"/>
    <n v="180"/>
    <s v="NO"/>
    <x v="1"/>
    <s v="MILAN"/>
    <s v="SI"/>
    <n v="480"/>
    <n v="1020"/>
    <n v="0.68"/>
  </r>
  <r>
    <s v="COD-146"/>
    <x v="0"/>
    <n v="15"/>
    <x v="4"/>
    <n v="600"/>
    <s v="PROFESOR-002"/>
    <n v="180"/>
    <d v="2021-07-03T00:00:00"/>
    <x v="0"/>
    <s v="COMERCIAL-003"/>
    <n v="60"/>
    <s v="NO"/>
    <x v="2"/>
    <s v="PARIS"/>
    <s v="SI"/>
    <n v="240"/>
    <n v="360"/>
    <n v="0.6"/>
  </r>
  <r>
    <s v="COD-147"/>
    <x v="0"/>
    <n v="10"/>
    <x v="5"/>
    <n v="400"/>
    <s v="PROFESOR-001"/>
    <n v="120"/>
    <d v="2021-10-02T00:00:00"/>
    <x v="0"/>
    <s v="COMERCIAL-002"/>
    <n v="40"/>
    <s v="SI"/>
    <x v="2"/>
    <s v="PARIS"/>
    <s v="SI"/>
    <n v="160"/>
    <n v="240"/>
    <n v="0.6"/>
  </r>
  <r>
    <s v="COD-148"/>
    <x v="0"/>
    <n v="12"/>
    <x v="2"/>
    <n v="480"/>
    <s v="PROFESOR-004"/>
    <n v="144"/>
    <d v="2020-08-26T00:00:00"/>
    <x v="0"/>
    <s v="COMERCIAL-004"/>
    <n v="48"/>
    <s v="NO"/>
    <x v="0"/>
    <s v="MADRID"/>
    <s v="SI"/>
    <n v="192"/>
    <n v="288"/>
    <n v="0.6"/>
  </r>
  <r>
    <s v="COD-149"/>
    <x v="1"/>
    <n v="15"/>
    <x v="6"/>
    <n v="600"/>
    <s v="PROFESOR-005"/>
    <n v="180"/>
    <d v="2019-08-17T00:00:00"/>
    <x v="1"/>
    <s v="COMERCIAL-001"/>
    <n v="60"/>
    <s v="SI"/>
    <x v="0"/>
    <s v="VALENCIA"/>
    <s v="SI"/>
    <n v="240"/>
    <n v="360"/>
    <n v="0.6"/>
  </r>
  <r>
    <s v="COD-150"/>
    <x v="2"/>
    <n v="25"/>
    <x v="6"/>
    <n v="750"/>
    <s v="PROFESOR-002"/>
    <n v="300"/>
    <d v="2021-09-08T00:00:00"/>
    <x v="1"/>
    <s v="COMERCIAL-002"/>
    <n v="60"/>
    <s v="SI"/>
    <x v="0"/>
    <s v="VALENCIA"/>
    <s v="SI"/>
    <n v="360"/>
    <n v="390"/>
    <n v="0.52"/>
  </r>
  <r>
    <s v="COD-151"/>
    <x v="0"/>
    <n v="15"/>
    <x v="5"/>
    <n v="450"/>
    <s v="PROFESOR-001"/>
    <n v="180"/>
    <d v="2021-01-14T00:00:00"/>
    <x v="1"/>
    <s v="COMERCIAL-004"/>
    <n v="36"/>
    <s v="SI"/>
    <x v="2"/>
    <s v="PARIS"/>
    <s v="SI"/>
    <n v="216"/>
    <n v="234"/>
    <n v="0.52"/>
  </r>
  <r>
    <s v="COD-152"/>
    <x v="0"/>
    <n v="20"/>
    <x v="4"/>
    <n v="600"/>
    <s v="PROFESOR-004"/>
    <n v="240"/>
    <d v="2021-08-12T00:00:00"/>
    <x v="1"/>
    <s v="COMERCIAL-001"/>
    <n v="48"/>
    <s v="SI"/>
    <x v="2"/>
    <s v="PARIS"/>
    <s v="SI"/>
    <n v="288"/>
    <n v="312"/>
    <n v="0.52"/>
  </r>
  <r>
    <s v="COD-153"/>
    <x v="0"/>
    <n v="20"/>
    <x v="7"/>
    <n v="500"/>
    <s v="PROFESOR-003"/>
    <n v="240"/>
    <d v="2019-07-26T00:00:00"/>
    <x v="2"/>
    <s v="COMERCIAL-003"/>
    <n v="35"/>
    <s v="SI"/>
    <x v="0"/>
    <s v="MADRID"/>
    <s v="NO"/>
    <n v="275"/>
    <n v="225"/>
    <n v="0.45"/>
  </r>
  <r>
    <s v="COD-154"/>
    <x v="1"/>
    <n v="30"/>
    <x v="7"/>
    <n v="750"/>
    <s v="PROFESOR-002"/>
    <n v="360"/>
    <d v="2021-06-04T00:00:00"/>
    <x v="2"/>
    <s v="COMERCIAL-002"/>
    <n v="52.5"/>
    <s v="SI"/>
    <x v="0"/>
    <s v="MADRID"/>
    <s v="SI"/>
    <n v="412.5"/>
    <n v="337.5"/>
    <n v="0.45"/>
  </r>
  <r>
    <s v="COD-155"/>
    <x v="1"/>
    <n v="35"/>
    <x v="6"/>
    <n v="875"/>
    <s v="PROFESOR-001"/>
    <n v="420"/>
    <d v="2020-04-13T00:00:00"/>
    <x v="2"/>
    <s v="COMERCIAL-004"/>
    <n v="61.25"/>
    <s v="SI"/>
    <x v="0"/>
    <s v="VALENCIA"/>
    <s v="SI"/>
    <n v="481.25"/>
    <n v="393.75"/>
    <n v="0.45"/>
  </r>
  <r>
    <s v="COD-156"/>
    <x v="1"/>
    <n v="40"/>
    <x v="4"/>
    <n v="1000"/>
    <s v="PROFESOR-001"/>
    <n v="480"/>
    <d v="2021-02-07T00:00:00"/>
    <x v="1"/>
    <s v="COMERCIAL-003"/>
    <n v="70"/>
    <s v="SI"/>
    <x v="2"/>
    <s v="PARIS"/>
    <s v="NO"/>
    <n v="550"/>
    <n v="450"/>
    <n v="0.45"/>
  </r>
  <r>
    <s v="COD-157"/>
    <x v="3"/>
    <n v="40"/>
    <x v="3"/>
    <n v="1200"/>
    <s v="PROFESOR-004"/>
    <n v="480"/>
    <d v="2019-01-02T00:00:00"/>
    <x v="1"/>
    <s v="COMERCIAL-002"/>
    <n v="96"/>
    <s v="SI"/>
    <x v="1"/>
    <s v="MILAN"/>
    <s v="SI"/>
    <n v="576"/>
    <n v="624"/>
    <n v="0.52"/>
  </r>
  <r>
    <s v="COD-158"/>
    <x v="4"/>
    <n v="35"/>
    <x v="4"/>
    <n v="1400"/>
    <s v="PROFESOR-005"/>
    <n v="420"/>
    <d v="2019-10-04T00:00:00"/>
    <x v="1"/>
    <s v="COMERCIAL-004"/>
    <n v="140"/>
    <s v="SI"/>
    <x v="2"/>
    <s v="PARIS"/>
    <s v="SI"/>
    <n v="560"/>
    <n v="840"/>
    <n v="0.6"/>
  </r>
  <r>
    <s v="COD-159"/>
    <x v="0"/>
    <n v="45"/>
    <x v="2"/>
    <n v="1125"/>
    <s v="PROFESOR-002"/>
    <n v="540"/>
    <d v="2019-12-10T00:00:00"/>
    <x v="1"/>
    <s v="COMERCIAL-001"/>
    <n v="78.75"/>
    <s v="SI"/>
    <x v="0"/>
    <s v="VALLADOLID"/>
    <s v="NO"/>
    <n v="618.75"/>
    <n v="506.25"/>
    <n v="0.45"/>
  </r>
  <r>
    <s v="COD-160"/>
    <x v="0"/>
    <n v="25"/>
    <x v="3"/>
    <n v="625"/>
    <s v="PROFESOR-001"/>
    <n v="300"/>
    <d v="2019-11-15T00:00:00"/>
    <x v="2"/>
    <s v="COMERCIAL-002"/>
    <n v="43.75"/>
    <s v="SI"/>
    <x v="1"/>
    <s v="MILAN"/>
    <s v="SI"/>
    <n v="343.75"/>
    <n v="281.25"/>
    <n v="0.45"/>
  </r>
  <r>
    <s v="COD-161"/>
    <x v="0"/>
    <n v="20"/>
    <x v="4"/>
    <n v="500"/>
    <s v="PROFESOR-004"/>
    <n v="240"/>
    <d v="2019-03-23T00:00:00"/>
    <x v="2"/>
    <s v="COMERCIAL-004"/>
    <n v="35"/>
    <s v="SI"/>
    <x v="2"/>
    <s v="PARIS"/>
    <s v="SI"/>
    <n v="275"/>
    <n v="225"/>
    <n v="0.45"/>
  </r>
  <r>
    <s v="COD-162"/>
    <x v="1"/>
    <n v="10"/>
    <x v="3"/>
    <n v="300"/>
    <s v="PROFESOR-003"/>
    <n v="120"/>
    <d v="2019-02-15T00:00:00"/>
    <x v="2"/>
    <s v="COMERCIAL-001"/>
    <n v="24"/>
    <s v="NO"/>
    <x v="1"/>
    <s v="MILAN"/>
    <s v="NO"/>
    <n v="144"/>
    <n v="156"/>
    <n v="0.52"/>
  </r>
  <r>
    <s v="COD-163"/>
    <x v="1"/>
    <n v="12"/>
    <x v="2"/>
    <n v="360"/>
    <s v="PROFESOR-002"/>
    <n v="144"/>
    <d v="2019-09-09T00:00:00"/>
    <x v="2"/>
    <s v="COMERCIAL-003"/>
    <n v="28.8"/>
    <s v="NO"/>
    <x v="0"/>
    <s v="VALLADOLID"/>
    <s v="NO"/>
    <n v="172.8"/>
    <n v="187.2"/>
    <n v="0.52"/>
  </r>
  <r>
    <s v="COD-164"/>
    <x v="1"/>
    <n v="15"/>
    <x v="3"/>
    <n v="450"/>
    <s v="PROFESOR-001"/>
    <n v="180"/>
    <d v="2020-05-14T00:00:00"/>
    <x v="2"/>
    <s v="COMERCIAL-002"/>
    <n v="36"/>
    <s v="NO"/>
    <x v="1"/>
    <s v="ROMA"/>
    <s v="SI"/>
    <n v="216"/>
    <n v="234"/>
    <n v="0.52"/>
  </r>
  <r>
    <s v="COD-165"/>
    <x v="3"/>
    <n v="20"/>
    <x v="5"/>
    <n v="500"/>
    <s v="PROFESOR-004"/>
    <n v="240"/>
    <d v="2020-09-05T00:00:00"/>
    <x v="1"/>
    <s v="COMERCIAL-004"/>
    <n v="25"/>
    <s v="NO"/>
    <x v="2"/>
    <s v="MARSELLA"/>
    <s v="SI"/>
    <n v="265"/>
    <n v="235"/>
    <n v="0.47"/>
  </r>
  <r>
    <s v="COD-166"/>
    <x v="4"/>
    <n v="25"/>
    <x v="0"/>
    <n v="625"/>
    <s v="PROFESOR-005"/>
    <n v="300"/>
    <d v="2021-05-07T00:00:00"/>
    <x v="0"/>
    <s v="COMERCIAL-001"/>
    <n v="31.25"/>
    <s v="NO"/>
    <x v="0"/>
    <s v="MADRID"/>
    <s v="NO"/>
    <n v="331.25"/>
    <n v="293.75"/>
    <n v="0.47"/>
  </r>
  <r>
    <s v="COD-167"/>
    <x v="4"/>
    <n v="30"/>
    <x v="1"/>
    <n v="750"/>
    <s v="PROFESOR-002"/>
    <n v="360"/>
    <d v="2019-08-20T00:00:00"/>
    <x v="1"/>
    <s v="COMERCIAL-003"/>
    <n v="37.5"/>
    <s v="NO"/>
    <x v="1"/>
    <s v="ROMA"/>
    <s v="NO"/>
    <n v="397.5"/>
    <n v="352.5"/>
    <n v="0.47"/>
  </r>
  <r>
    <s v="COD-168"/>
    <x v="4"/>
    <n v="40"/>
    <x v="2"/>
    <n v="1000"/>
    <s v="PROFESOR-001"/>
    <n v="480"/>
    <d v="2021-06-21T00:00:00"/>
    <x v="0"/>
    <s v="COMERCIAL-002"/>
    <n v="50"/>
    <s v="NO"/>
    <x v="0"/>
    <s v="MADRID"/>
    <s v="SI"/>
    <n v="530"/>
    <n v="470"/>
    <n v="0.47"/>
  </r>
  <r>
    <s v="COD-169"/>
    <x v="3"/>
    <n v="35"/>
    <x v="3"/>
    <n v="875"/>
    <s v="PROFESOR-004"/>
    <n v="420"/>
    <d v="2019-09-25T00:00:00"/>
    <x v="0"/>
    <s v="COMERCIAL-004"/>
    <n v="43.75"/>
    <s v="NO"/>
    <x v="1"/>
    <s v="ROMA"/>
    <s v="SI"/>
    <n v="463.75"/>
    <n v="411.25"/>
    <n v="0.47"/>
  </r>
  <r>
    <s v="COD-170"/>
    <x v="5"/>
    <n v="45"/>
    <x v="4"/>
    <n v="3375"/>
    <s v="PROFESOR-005"/>
    <n v="540"/>
    <d v="2021-01-18T00:00:00"/>
    <x v="0"/>
    <s v="COMERCIAL-001"/>
    <n v="506.25"/>
    <s v="NO"/>
    <x v="2"/>
    <s v="MARSELLA"/>
    <s v="NO"/>
    <n v="1046.25"/>
    <n v="2328.75"/>
    <n v="0.69"/>
  </r>
  <r>
    <s v="COD-171"/>
    <x v="6"/>
    <n v="18"/>
    <x v="3"/>
    <n v="1080"/>
    <s v="PROFESOR-002"/>
    <n v="216"/>
    <d v="2019-03-19T00:00:00"/>
    <x v="0"/>
    <s v="COMERCIAL-002"/>
    <n v="129.6"/>
    <s v="SI"/>
    <x v="1"/>
    <s v="ROMA"/>
    <s v="SI"/>
    <n v="345.6"/>
    <n v="734.4"/>
    <n v="0.67999999999999994"/>
  </r>
  <r>
    <s v="COD-172"/>
    <x v="6"/>
    <n v="10"/>
    <x v="2"/>
    <n v="600"/>
    <s v="PROFESOR-001"/>
    <n v="120"/>
    <d v="2019-10-26T00:00:00"/>
    <x v="1"/>
    <s v="COMERCIAL-004"/>
    <n v="72"/>
    <s v="NO"/>
    <x v="0"/>
    <s v="MADRID"/>
    <s v="SI"/>
    <n v="192"/>
    <n v="408"/>
    <n v="0.68"/>
  </r>
  <r>
    <s v="COD-173"/>
    <x v="6"/>
    <n v="45"/>
    <x v="3"/>
    <n v="2700"/>
    <s v="PROFESOR-003"/>
    <n v="540"/>
    <d v="2019-05-28T00:00:00"/>
    <x v="1"/>
    <s v="COMERCIAL-001"/>
    <n v="324"/>
    <s v="SI"/>
    <x v="1"/>
    <s v="ROMA"/>
    <s v="NO"/>
    <n v="864"/>
    <n v="1836"/>
    <n v="0.68"/>
  </r>
  <r>
    <s v="COD-174"/>
    <x v="2"/>
    <n v="25"/>
    <x v="5"/>
    <n v="1000"/>
    <s v="PROFESOR-002"/>
    <n v="300"/>
    <d v="2019-07-09T00:00:00"/>
    <x v="1"/>
    <s v="COMERCIAL-003"/>
    <n v="100"/>
    <s v="SI"/>
    <x v="2"/>
    <s v="MARSELLA"/>
    <s v="NO"/>
    <n v="400"/>
    <n v="600"/>
    <n v="0.6"/>
  </r>
  <r>
    <s v="COD-175"/>
    <x v="2"/>
    <n v="20"/>
    <x v="2"/>
    <n v="800"/>
    <s v="PROFESOR-001"/>
    <n v="240"/>
    <d v="2020-05-05T00:00:00"/>
    <x v="1"/>
    <s v="COMERCIAL-002"/>
    <n v="80"/>
    <s v="SI"/>
    <x v="0"/>
    <s v="MADRID"/>
    <s v="SI"/>
    <n v="320"/>
    <n v="480"/>
    <n v="0.6"/>
  </r>
  <r>
    <s v="COD-176"/>
    <x v="2"/>
    <n v="10"/>
    <x v="6"/>
    <n v="400"/>
    <s v="PROFESOR-004"/>
    <n v="120"/>
    <d v="2019-04-19T00:00:00"/>
    <x v="2"/>
    <s v="COMERCIAL-004"/>
    <n v="40"/>
    <s v="SI"/>
    <x v="0"/>
    <s v="MADRID"/>
    <s v="SI"/>
    <n v="160"/>
    <n v="240"/>
    <n v="0.6"/>
  </r>
  <r>
    <s v="COD-177"/>
    <x v="2"/>
    <n v="12"/>
    <x v="4"/>
    <n v="480"/>
    <s v="PROFESOR-005"/>
    <n v="144"/>
    <d v="2020-03-15T00:00:00"/>
    <x v="2"/>
    <s v="COMERCIAL-003"/>
    <n v="48"/>
    <s v="SI"/>
    <x v="2"/>
    <s v="MARSELLA"/>
    <s v="NO"/>
    <n v="192"/>
    <n v="288"/>
    <n v="0.6"/>
  </r>
  <r>
    <s v="COD-178"/>
    <x v="1"/>
    <n v="15"/>
    <x v="5"/>
    <n v="450"/>
    <s v="PROFESOR-002"/>
    <n v="180"/>
    <d v="2019-04-12T00:00:00"/>
    <x v="2"/>
    <s v="COMERCIAL-002"/>
    <n v="36"/>
    <s v="SI"/>
    <x v="2"/>
    <s v="MARSELLA"/>
    <s v="SI"/>
    <n v="216"/>
    <n v="234"/>
    <n v="0.52"/>
  </r>
  <r>
    <s v="COD-179"/>
    <x v="1"/>
    <n v="20"/>
    <x v="7"/>
    <n v="600"/>
    <s v="PROFESOR-001"/>
    <n v="240"/>
    <d v="2019-11-13T00:00:00"/>
    <x v="1"/>
    <s v="COMERCIAL-004"/>
    <n v="48"/>
    <s v="SI"/>
    <x v="0"/>
    <s v="MADRID"/>
    <s v="SI"/>
    <n v="288"/>
    <n v="312"/>
    <n v="0.52"/>
  </r>
  <r>
    <s v="COD-180"/>
    <x v="1"/>
    <n v="25"/>
    <x v="3"/>
    <n v="750"/>
    <s v="PROFESOR-004"/>
    <n v="300"/>
    <d v="2019-12-04T00:00:00"/>
    <x v="1"/>
    <s v="COMERCIAL-001"/>
    <n v="60"/>
    <s v="SI"/>
    <x v="1"/>
    <s v="MILAN"/>
    <s v="NO"/>
    <n v="360"/>
    <n v="390"/>
    <n v="0.52"/>
  </r>
  <r>
    <s v="COD-181"/>
    <x v="0"/>
    <n v="30"/>
    <x v="4"/>
    <n v="750"/>
    <s v="PROFESOR-003"/>
    <n v="360"/>
    <d v="2019-03-31T00:00:00"/>
    <x v="1"/>
    <s v="COMERCIAL-003"/>
    <n v="52.5"/>
    <s v="SI"/>
    <x v="2"/>
    <s v="MARSELLA"/>
    <s v="NO"/>
    <n v="412.5"/>
    <n v="337.5"/>
    <n v="0.45"/>
  </r>
  <r>
    <s v="COD-182"/>
    <x v="0"/>
    <n v="40"/>
    <x v="5"/>
    <n v="1000"/>
    <s v="PROFESOR-002"/>
    <n v="480"/>
    <d v="2021-11-09T00:00:00"/>
    <x v="1"/>
    <s v="COMERCIAL-002"/>
    <n v="70"/>
    <s v="SI"/>
    <x v="2"/>
    <s v="MARSELLA"/>
    <s v="SI"/>
    <n v="550"/>
    <n v="450"/>
    <n v="0.45"/>
  </r>
  <r>
    <s v="COD-183"/>
    <x v="1"/>
    <n v="35"/>
    <x v="2"/>
    <n v="1050"/>
    <s v="PROFESOR-001"/>
    <n v="420"/>
    <d v="2019-11-13T00:00:00"/>
    <x v="2"/>
    <s v="COMERCIAL-004"/>
    <n v="84"/>
    <s v="SI"/>
    <x v="0"/>
    <s v="MADRID"/>
    <s v="SI"/>
    <n v="504"/>
    <n v="546"/>
    <n v="0.52"/>
  </r>
  <r>
    <s v="COD-184"/>
    <x v="2"/>
    <n v="45"/>
    <x v="6"/>
    <n v="1800"/>
    <s v="PROFESOR-004"/>
    <n v="540"/>
    <d v="2020-09-25T00:00:00"/>
    <x v="2"/>
    <s v="COMERCIAL-001"/>
    <n v="180"/>
    <s v="SI"/>
    <x v="0"/>
    <s v="VALENCIA"/>
    <s v="NO"/>
    <n v="720"/>
    <n v="1080"/>
    <n v="0.6"/>
  </r>
  <r>
    <s v="COD-185"/>
    <x v="0"/>
    <n v="18"/>
    <x v="6"/>
    <n v="450"/>
    <s v="PROFESOR-005"/>
    <n v="216"/>
    <d v="2021-03-25T00:00:00"/>
    <x v="2"/>
    <s v="COMERCIAL-002"/>
    <n v="31.5"/>
    <s v="SI"/>
    <x v="0"/>
    <s v="VALENCIA"/>
    <s v="SI"/>
    <n v="247.5"/>
    <n v="202.5"/>
    <n v="0.45"/>
  </r>
  <r>
    <s v="COD-186"/>
    <x v="0"/>
    <n v="10"/>
    <x v="5"/>
    <n v="250"/>
    <s v="PROFESOR-002"/>
    <n v="120"/>
    <d v="2019-01-12T00:00:00"/>
    <x v="2"/>
    <s v="COMERCIAL-004"/>
    <n v="17.5"/>
    <s v="NO"/>
    <x v="2"/>
    <s v="MARSELLA"/>
    <s v="SI"/>
    <n v="137.5"/>
    <n v="112.5"/>
    <n v="0.45"/>
  </r>
  <r>
    <s v="COD-187"/>
    <x v="0"/>
    <n v="12"/>
    <x v="4"/>
    <n v="300"/>
    <s v="PROFESOR-001"/>
    <n v="144"/>
    <d v="2021-09-21T00:00:00"/>
    <x v="2"/>
    <s v="COMERCIAL-001"/>
    <n v="21"/>
    <s v="NO"/>
    <x v="2"/>
    <s v="MARSELLA"/>
    <s v="SI"/>
    <n v="165"/>
    <n v="135"/>
    <n v="0.45"/>
  </r>
  <r>
    <s v="COD-188"/>
    <x v="1"/>
    <n v="15"/>
    <x v="7"/>
    <n v="450"/>
    <s v="PROFESOR-004"/>
    <n v="180"/>
    <d v="2019-01-08T00:00:00"/>
    <x v="1"/>
    <s v="COMERCIAL-003"/>
    <n v="36"/>
    <s v="SI"/>
    <x v="0"/>
    <s v="VALENCIA"/>
    <s v="SI"/>
    <n v="216"/>
    <n v="234"/>
    <n v="0.52"/>
  </r>
  <r>
    <s v="COD-189"/>
    <x v="1"/>
    <n v="25"/>
    <x v="7"/>
    <n v="750"/>
    <s v="PROFESOR-005"/>
    <n v="300"/>
    <d v="2021-04-07T00:00:00"/>
    <x v="2"/>
    <s v="COMERCIAL-002"/>
    <n v="60"/>
    <s v="SI"/>
    <x v="0"/>
    <s v="MADRID"/>
    <s v="SI"/>
    <n v="360"/>
    <n v="390"/>
    <n v="0.52"/>
  </r>
  <r>
    <s v="COD-190"/>
    <x v="1"/>
    <n v="15"/>
    <x v="6"/>
    <n v="450"/>
    <s v="PROFESOR-002"/>
    <n v="180"/>
    <d v="2019-03-13T00:00:00"/>
    <x v="2"/>
    <s v="COMERCIAL-004"/>
    <n v="36"/>
    <s v="SI"/>
    <x v="0"/>
    <s v="MADRID"/>
    <s v="SI"/>
    <n v="216"/>
    <n v="234"/>
    <n v="0.52"/>
  </r>
  <r>
    <s v="COD-191"/>
    <x v="3"/>
    <n v="10"/>
    <x v="4"/>
    <n v="250"/>
    <s v="PROFESOR-001"/>
    <n v="120"/>
    <d v="2019-04-24T00:00:00"/>
    <x v="2"/>
    <s v="COMERCIAL-003"/>
    <n v="12.5"/>
    <s v="SI"/>
    <x v="2"/>
    <s v="MARSELLA"/>
    <s v="SI"/>
    <n v="132.5"/>
    <n v="117.5"/>
    <n v="0.47"/>
  </r>
  <r>
    <s v="COD-192"/>
    <x v="4"/>
    <n v="12"/>
    <x v="3"/>
    <n v="300"/>
    <s v="PROFESOR-004"/>
    <n v="144"/>
    <d v="2019-05-16T00:00:00"/>
    <x v="1"/>
    <s v="COMERCIAL-002"/>
    <n v="15"/>
    <s v="SI"/>
    <x v="1"/>
    <s v="MILAN"/>
    <s v="SI"/>
    <n v="159"/>
    <n v="141"/>
    <n v="0.47"/>
  </r>
  <r>
    <s v="COD-193"/>
    <x v="4"/>
    <n v="15"/>
    <x v="4"/>
    <n v="375"/>
    <s v="PROFESOR-003"/>
    <n v="180"/>
    <d v="2020-12-05T00:00:00"/>
    <x v="1"/>
    <s v="COMERCIAL-004"/>
    <n v="18.75"/>
    <s v="SI"/>
    <x v="2"/>
    <s v="MARSELLA"/>
    <s v="SI"/>
    <n v="198.75"/>
    <n v="176.25"/>
    <n v="0.47"/>
  </r>
  <r>
    <s v="COD-194"/>
    <x v="4"/>
    <n v="25"/>
    <x v="2"/>
    <n v="625"/>
    <s v="PROFESOR-002"/>
    <n v="300"/>
    <d v="2019-11-01T00:00:00"/>
    <x v="1"/>
    <s v="COMERCIAL-001"/>
    <n v="31.25"/>
    <s v="SI"/>
    <x v="0"/>
    <s v="VALLADOLID"/>
    <s v="SI"/>
    <n v="331.25"/>
    <n v="293.75"/>
    <n v="0.47"/>
  </r>
  <r>
    <s v="COD-195"/>
    <x v="3"/>
    <n v="15"/>
    <x v="3"/>
    <n v="375"/>
    <s v="PROFESOR-001"/>
    <n v="180"/>
    <d v="2021-10-24T00:00:00"/>
    <x v="1"/>
    <s v="COMERCIAL-002"/>
    <n v="18.75"/>
    <s v="SI"/>
    <x v="1"/>
    <s v="MILAN"/>
    <s v="SI"/>
    <n v="198.75"/>
    <n v="176.25"/>
    <n v="0.47"/>
  </r>
  <r>
    <s v="COD-196"/>
    <x v="5"/>
    <n v="20"/>
    <x v="4"/>
    <n v="1500"/>
    <s v="PROFESOR-001"/>
    <n v="240"/>
    <d v="2021-06-26T00:00:00"/>
    <x v="2"/>
    <s v="COMERCIAL-004"/>
    <n v="225"/>
    <s v="SI"/>
    <x v="2"/>
    <s v="MARSELLA"/>
    <s v="SI"/>
    <n v="465"/>
    <n v="1035"/>
    <n v="0.69"/>
  </r>
  <r>
    <s v="COD-197"/>
    <x v="6"/>
    <n v="20"/>
    <x v="3"/>
    <n v="1200"/>
    <s v="PROFESOR-004"/>
    <n v="240"/>
    <d v="2019-06-02T00:00:00"/>
    <x v="2"/>
    <s v="COMERCIAL-001"/>
    <n v="144"/>
    <s v="SI"/>
    <x v="1"/>
    <s v="MILAN"/>
    <s v="SI"/>
    <n v="384"/>
    <n v="816"/>
    <n v="0.68"/>
  </r>
  <r>
    <s v="COD-198"/>
    <x v="6"/>
    <n v="30"/>
    <x v="2"/>
    <n v="1800"/>
    <s v="PROFESOR-005"/>
    <n v="360"/>
    <d v="2020-12-30T00:00:00"/>
    <x v="2"/>
    <s v="COMERCIAL-003"/>
    <n v="216"/>
    <s v="SI"/>
    <x v="0"/>
    <s v="VALLADOLID"/>
    <s v="NO"/>
    <n v="576"/>
    <n v="1224"/>
    <n v="0.68"/>
  </r>
  <r>
    <s v="COD-199"/>
    <x v="6"/>
    <n v="35"/>
    <x v="3"/>
    <n v="2100"/>
    <s v="PROFESOR-002"/>
    <n v="420"/>
    <d v="2021-02-14T00:00:00"/>
    <x v="2"/>
    <s v="COMERCIAL-002"/>
    <n v="252"/>
    <s v="SI"/>
    <x v="1"/>
    <s v="MILAN"/>
    <s v="SI"/>
    <n v="672"/>
    <n v="1428"/>
    <n v="0.68"/>
  </r>
  <r>
    <s v="COD-200"/>
    <x v="2"/>
    <n v="40"/>
    <x v="5"/>
    <n v="1600"/>
    <s v="PROFESOR-001"/>
    <n v="480"/>
    <d v="2019-10-29T00:00:00"/>
    <x v="2"/>
    <s v="COMERCIAL-004"/>
    <n v="160"/>
    <s v="SI"/>
    <x v="2"/>
    <s v="MARSELLA"/>
    <s v="SI"/>
    <n v="640"/>
    <n v="960"/>
    <n v="0.6"/>
  </r>
  <r>
    <s v="COD-201"/>
    <x v="2"/>
    <n v="40"/>
    <x v="2"/>
    <n v="1600"/>
    <s v="PROFESOR-004"/>
    <n v="480"/>
    <d v="2021-07-30T00:00:00"/>
    <x v="1"/>
    <s v="COMERCIAL-003"/>
    <n v="160"/>
    <s v="SI"/>
    <x v="0"/>
    <s v="VALLADOLID"/>
    <s v="NO"/>
    <n v="640"/>
    <n v="960"/>
    <n v="0.6"/>
  </r>
  <r>
    <s v="COD-202"/>
    <x v="2"/>
    <n v="35"/>
    <x v="6"/>
    <n v="1400"/>
    <s v="PROFESOR-003"/>
    <n v="420"/>
    <d v="2020-04-29T00:00:00"/>
    <x v="0"/>
    <s v="COMERCIAL-002"/>
    <n v="140"/>
    <s v="SI"/>
    <x v="0"/>
    <s v="VALLADOLID"/>
    <s v="SI"/>
    <n v="560"/>
    <n v="840"/>
    <n v="0.6"/>
  </r>
  <r>
    <s v="COD-203"/>
    <x v="2"/>
    <n v="10"/>
    <x v="4"/>
    <n v="400"/>
    <s v="PROFESOR-002"/>
    <n v="120"/>
    <d v="2021-12-03T00:00:00"/>
    <x v="1"/>
    <s v="COMERCIAL-004"/>
    <n v="40"/>
    <s v="NO"/>
    <x v="2"/>
    <s v="PARIS"/>
    <s v="SI"/>
    <n v="160"/>
    <n v="240"/>
    <n v="0.6"/>
  </r>
  <r>
    <s v="COD-204"/>
    <x v="1"/>
    <n v="12"/>
    <x v="5"/>
    <n v="360"/>
    <s v="PROFESOR-001"/>
    <n v="144"/>
    <d v="2020-08-07T00:00:00"/>
    <x v="0"/>
    <s v="COMERCIAL-001"/>
    <n v="28.8"/>
    <s v="SI"/>
    <x v="2"/>
    <s v="PARIS"/>
    <s v="NO"/>
    <n v="172.8"/>
    <n v="187.2"/>
    <n v="0.52"/>
  </r>
  <r>
    <s v="COD-205"/>
    <x v="1"/>
    <n v="15"/>
    <x v="7"/>
    <n v="450"/>
    <s v="PROFESOR-004"/>
    <n v="180"/>
    <d v="2021-01-09T00:00:00"/>
    <x v="0"/>
    <s v="COMERCIAL-003"/>
    <n v="36"/>
    <s v="SI"/>
    <x v="0"/>
    <s v="VALLADOLID"/>
    <s v="NO"/>
    <n v="216"/>
    <n v="234"/>
    <n v="0.52"/>
  </r>
  <r>
    <s v="COD-206"/>
    <x v="1"/>
    <n v="25"/>
    <x v="3"/>
    <n v="750"/>
    <s v="PROFESOR-005"/>
    <n v="300"/>
    <d v="2019-08-09T00:00:00"/>
    <x v="0"/>
    <s v="COMERCIAL-002"/>
    <n v="60"/>
    <s v="SI"/>
    <x v="1"/>
    <s v="MILAN"/>
    <s v="SI"/>
    <n v="360"/>
    <n v="390"/>
    <n v="0.52"/>
  </r>
  <r>
    <s v="COD-207"/>
    <x v="0"/>
    <n v="15"/>
    <x v="4"/>
    <n v="375"/>
    <s v="PROFESOR-002"/>
    <n v="180"/>
    <d v="2019-05-15T00:00:00"/>
    <x v="0"/>
    <s v="COMERCIAL-004"/>
    <n v="26.25"/>
    <s v="SI"/>
    <x v="2"/>
    <s v="PARIS"/>
    <s v="SI"/>
    <n v="206.25"/>
    <n v="168.75"/>
    <n v="0.45"/>
  </r>
  <r>
    <s v="COD-208"/>
    <x v="0"/>
    <n v="10"/>
    <x v="5"/>
    <n v="250"/>
    <s v="PROFESOR-001"/>
    <n v="120"/>
    <d v="2021-08-29T00:00:00"/>
    <x v="1"/>
    <s v="COMERCIAL-001"/>
    <n v="17.5"/>
    <s v="NO"/>
    <x v="2"/>
    <s v="PARIS"/>
    <s v="NO"/>
    <n v="137.5"/>
    <n v="112.5"/>
    <n v="0.45"/>
  </r>
  <r>
    <s v="COD-209"/>
    <x v="0"/>
    <n v="12"/>
    <x v="2"/>
    <n v="300"/>
    <s v="PROFESOR-004"/>
    <n v="144"/>
    <d v="2020-08-09T00:00:00"/>
    <x v="1"/>
    <s v="COMERCIAL-002"/>
    <n v="21"/>
    <s v="NO"/>
    <x v="0"/>
    <s v="VALLADOLID"/>
    <s v="SI"/>
    <n v="165"/>
    <n v="135"/>
    <n v="0.45"/>
  </r>
  <r>
    <s v="COD-210"/>
    <x v="0"/>
    <n v="15"/>
    <x v="6"/>
    <n v="375"/>
    <s v="PROFESOR-005"/>
    <n v="180"/>
    <d v="2021-03-17T00:00:00"/>
    <x v="1"/>
    <s v="COMERCIAL-004"/>
    <n v="26.25"/>
    <s v="SI"/>
    <x v="0"/>
    <s v="VALLADOLID"/>
    <s v="SI"/>
    <n v="206.25"/>
    <n v="168.75"/>
    <n v="0.45"/>
  </r>
  <r>
    <s v="COD-211"/>
    <x v="1"/>
    <n v="25"/>
    <x v="6"/>
    <n v="750"/>
    <s v="PROFESOR-002"/>
    <n v="300"/>
    <d v="2020-11-09T00:00:00"/>
    <x v="1"/>
    <s v="COMERCIAL-001"/>
    <n v="60"/>
    <s v="SI"/>
    <x v="0"/>
    <s v="VALLADOLID"/>
    <s v="NO"/>
    <n v="360"/>
    <n v="390"/>
    <n v="0.52"/>
  </r>
  <r>
    <s v="COD-212"/>
    <x v="2"/>
    <n v="15"/>
    <x v="5"/>
    <n v="600"/>
    <s v="PROFESOR-001"/>
    <n v="180"/>
    <d v="2019-08-26T00:00:00"/>
    <x v="2"/>
    <s v="COMERCIAL-003"/>
    <n v="60"/>
    <s v="NO"/>
    <x v="2"/>
    <s v="PARIS"/>
    <s v="NO"/>
    <n v="240"/>
    <n v="360"/>
    <n v="0.6"/>
  </r>
  <r>
    <s v="COD-213"/>
    <x v="0"/>
    <n v="20"/>
    <x v="4"/>
    <n v="500"/>
    <s v="PROFESOR-004"/>
    <n v="240"/>
    <d v="2020-02-01T00:00:00"/>
    <x v="2"/>
    <s v="COMERCIAL-003"/>
    <n v="35"/>
    <s v="SI"/>
    <x v="2"/>
    <s v="PARIS"/>
    <s v="NO"/>
    <n v="275"/>
    <n v="225"/>
    <n v="0.45"/>
  </r>
  <r>
    <s v="COD-214"/>
    <x v="0"/>
    <n v="20"/>
    <x v="7"/>
    <n v="500"/>
    <s v="PROFESOR-005"/>
    <n v="240"/>
    <d v="2019-10-09T00:00:00"/>
    <x v="2"/>
    <s v="COMERCIAL-002"/>
    <n v="35"/>
    <s v="SI"/>
    <x v="0"/>
    <s v="VALLADOLID"/>
    <s v="SI"/>
    <n v="275"/>
    <n v="225"/>
    <n v="0.45"/>
  </r>
  <r>
    <s v="COD-215"/>
    <x v="0"/>
    <n v="30"/>
    <x v="0"/>
    <n v="750"/>
    <s v="PROFESOR-002"/>
    <n v="360"/>
    <d v="2019-09-01T00:00:00"/>
    <x v="1"/>
    <s v="COMERCIAL-004"/>
    <n v="52.5"/>
    <s v="SI"/>
    <x v="0"/>
    <s v="VALLADOLID"/>
    <s v="SI"/>
    <n v="412.5"/>
    <n v="337.5"/>
    <n v="0.45"/>
  </r>
  <r>
    <s v="COD-216"/>
    <x v="1"/>
    <n v="35"/>
    <x v="1"/>
    <n v="1050"/>
    <s v="PROFESOR-001"/>
    <n v="420"/>
    <d v="2021-08-28T00:00:00"/>
    <x v="1"/>
    <s v="COMERCIAL-001"/>
    <n v="84"/>
    <s v="SI"/>
    <x v="1"/>
    <s v="MILAN"/>
    <s v="NO"/>
    <n v="504"/>
    <n v="546"/>
    <n v="0.52"/>
  </r>
  <r>
    <s v="COD-217"/>
    <x v="1"/>
    <n v="40"/>
    <x v="2"/>
    <n v="1200"/>
    <s v="PROFESOR-004"/>
    <n v="480"/>
    <d v="2019-03-20T00:00:00"/>
    <x v="1"/>
    <s v="COMERCIAL-002"/>
    <n v="96"/>
    <s v="SI"/>
    <x v="0"/>
    <s v="VALLADOLID"/>
    <s v="SI"/>
    <n v="576"/>
    <n v="624"/>
    <n v="0.52"/>
  </r>
  <r>
    <s v="COD-218"/>
    <x v="1"/>
    <n v="40"/>
    <x v="3"/>
    <n v="1200"/>
    <s v="PROFESOR-003"/>
    <n v="480"/>
    <d v="2020-02-22T00:00:00"/>
    <x v="1"/>
    <s v="COMERCIAL-004"/>
    <n v="96"/>
    <s v="SI"/>
    <x v="1"/>
    <s v="MILAN"/>
    <s v="SI"/>
    <n v="576"/>
    <n v="624"/>
    <n v="0.52"/>
  </r>
  <r>
    <s v="COD-219"/>
    <x v="3"/>
    <n v="35"/>
    <x v="4"/>
    <n v="875"/>
    <s v="PROFESOR-002"/>
    <n v="420"/>
    <d v="2021-06-01T00:00:00"/>
    <x v="2"/>
    <s v="COMERCIAL-001"/>
    <n v="43.75"/>
    <s v="SI"/>
    <x v="2"/>
    <s v="PARIS"/>
    <s v="NO"/>
    <n v="463.75"/>
    <n v="411.25"/>
    <n v="0.47"/>
  </r>
  <r>
    <s v="COD-220"/>
    <x v="4"/>
    <n v="45"/>
    <x v="3"/>
    <n v="1125"/>
    <s v="PROFESOR-001"/>
    <n v="540"/>
    <d v="2020-06-28T00:00:00"/>
    <x v="0"/>
    <s v="COMERCIAL-003"/>
    <n v="56.25"/>
    <s v="SI"/>
    <x v="1"/>
    <s v="MILAN"/>
    <s v="NO"/>
    <n v="596.25"/>
    <n v="528.75"/>
    <n v="0.47"/>
  </r>
  <r>
    <s v="COD-221"/>
    <x v="4"/>
    <n v="25"/>
    <x v="2"/>
    <n v="625"/>
    <s v="PROFESOR-004"/>
    <n v="300"/>
    <d v="2020-08-02T00:00:00"/>
    <x v="0"/>
    <s v="COMERCIAL-002"/>
    <n v="31.25"/>
    <s v="SI"/>
    <x v="0"/>
    <s v="VALENCIA"/>
    <s v="SI"/>
    <n v="331.25"/>
    <n v="293.75"/>
    <n v="0.47"/>
  </r>
  <r>
    <s v="COD-222"/>
    <x v="4"/>
    <n v="20"/>
    <x v="3"/>
    <n v="500"/>
    <s v="PROFESOR-005"/>
    <n v="240"/>
    <d v="2021-08-06T00:00:00"/>
    <x v="0"/>
    <s v="COMERCIAL-004"/>
    <n v="25"/>
    <s v="SI"/>
    <x v="1"/>
    <s v="MILAN"/>
    <s v="SI"/>
    <n v="265"/>
    <n v="235"/>
    <n v="0.47"/>
  </r>
  <r>
    <s v="COD-223"/>
    <x v="3"/>
    <n v="10"/>
    <x v="5"/>
    <n v="250"/>
    <s v="PROFESOR-002"/>
    <n v="120"/>
    <d v="2019-12-14T00:00:00"/>
    <x v="0"/>
    <s v="COMERCIAL-003"/>
    <n v="12.5"/>
    <s v="SI"/>
    <x v="2"/>
    <s v="PARIS"/>
    <s v="NO"/>
    <n v="132.5"/>
    <n v="117.5"/>
    <n v="0.47"/>
  </r>
  <r>
    <s v="COD-224"/>
    <x v="5"/>
    <n v="12"/>
    <x v="2"/>
    <n v="900"/>
    <s v="PROFESOR-001"/>
    <n v="144"/>
    <d v="2021-05-14T00:00:00"/>
    <x v="1"/>
    <s v="COMERCIAL-002"/>
    <n v="135"/>
    <s v="SI"/>
    <x v="0"/>
    <s v="VALENCIA"/>
    <s v="SI"/>
    <n v="279"/>
    <n v="621"/>
    <n v="0.69"/>
  </r>
  <r>
    <s v="COD-225"/>
    <x v="6"/>
    <n v="15"/>
    <x v="6"/>
    <n v="900"/>
    <s v="PROFESOR-004"/>
    <n v="180"/>
    <d v="2021-01-30T00:00:00"/>
    <x v="1"/>
    <s v="COMERCIAL-004"/>
    <n v="108"/>
    <s v="SI"/>
    <x v="0"/>
    <s v="VALENCIA"/>
    <s v="SI"/>
    <n v="288"/>
    <n v="612"/>
    <n v="0.68"/>
  </r>
  <r>
    <s v="COD-226"/>
    <x v="6"/>
    <n v="20"/>
    <x v="4"/>
    <n v="1200"/>
    <s v="PROFESOR-005"/>
    <n v="240"/>
    <d v="2019-06-14T00:00:00"/>
    <x v="1"/>
    <s v="COMERCIAL-001"/>
    <n v="144"/>
    <s v="SI"/>
    <x v="2"/>
    <s v="PARIS"/>
    <s v="NO"/>
    <n v="384"/>
    <n v="816"/>
    <n v="0.68"/>
  </r>
  <r>
    <s v="COD-227"/>
    <x v="6"/>
    <n v="25"/>
    <x v="5"/>
    <n v="1500"/>
    <s v="PROFESOR-002"/>
    <n v="300"/>
    <d v="2019-04-25T00:00:00"/>
    <x v="1"/>
    <s v="COMERCIAL-003"/>
    <n v="180"/>
    <s v="SI"/>
    <x v="2"/>
    <s v="PARIS"/>
    <s v="SI"/>
    <n v="480"/>
    <n v="1020"/>
    <n v="0.68"/>
  </r>
  <r>
    <s v="COD-228"/>
    <x v="1"/>
    <n v="30"/>
    <x v="7"/>
    <n v="1200"/>
    <s v="PROFESOR-001"/>
    <n v="360"/>
    <d v="2019-05-18T00:00:00"/>
    <x v="2"/>
    <s v="COMERCIAL-002"/>
    <n v="120"/>
    <s v="SI"/>
    <x v="0"/>
    <s v="VALENCIA"/>
    <s v="SI"/>
    <n v="480"/>
    <n v="720"/>
    <n v="0.6"/>
  </r>
  <r>
    <s v="COD-229"/>
    <x v="3"/>
    <n v="40"/>
    <x v="3"/>
    <n v="1600"/>
    <s v="PROFESOR-004"/>
    <n v="480"/>
    <d v="2019-06-18T00:00:00"/>
    <x v="2"/>
    <s v="COMERCIAL-004"/>
    <n v="160"/>
    <s v="NO"/>
    <x v="1"/>
    <s v="MILAN"/>
    <s v="SI"/>
    <n v="640"/>
    <n v="960"/>
    <n v="0.6"/>
  </r>
  <r>
    <s v="COD-230"/>
    <x v="4"/>
    <n v="35"/>
    <x v="4"/>
    <n v="1400"/>
    <s v="PROFESOR-003"/>
    <n v="420"/>
    <d v="2019-02-17T00:00:00"/>
    <x v="2"/>
    <s v="COMERCIAL-001"/>
    <n v="140"/>
    <s v="NO"/>
    <x v="2"/>
    <s v="PARIS"/>
    <s v="SI"/>
    <n v="560"/>
    <n v="840"/>
    <n v="0.6"/>
  </r>
  <r>
    <s v="COD-231"/>
    <x v="4"/>
    <n v="45"/>
    <x v="5"/>
    <n v="1800"/>
    <s v="PROFESOR-002"/>
    <n v="540"/>
    <d v="2019-10-16T00:00:00"/>
    <x v="1"/>
    <s v="COMERCIAL-002"/>
    <n v="180"/>
    <s v="NO"/>
    <x v="2"/>
    <s v="PARIS"/>
    <s v="SI"/>
    <n v="720"/>
    <n v="1080"/>
    <n v="0.6"/>
  </r>
  <r>
    <s v="COD-232"/>
    <x v="4"/>
    <n v="18"/>
    <x v="2"/>
    <n v="540"/>
    <s v="PROFESOR-001"/>
    <n v="216"/>
    <d v="2019-01-06T00:00:00"/>
    <x v="1"/>
    <s v="COMERCIAL-004"/>
    <n v="43.2"/>
    <s v="NO"/>
    <x v="0"/>
    <s v="VALENCIA"/>
    <s v="SI"/>
    <n v="259.2"/>
    <n v="280.8"/>
    <n v="0.52"/>
  </r>
  <r>
    <s v="COD-233"/>
    <x v="3"/>
    <n v="10"/>
    <x v="6"/>
    <n v="300"/>
    <s v="PROFESOR-001"/>
    <n v="120"/>
    <d v="2020-09-20T00:00:00"/>
    <x v="1"/>
    <s v="COMERCIAL-001"/>
    <n v="24"/>
    <s v="SI"/>
    <x v="0"/>
    <s v="VALENCIA"/>
    <s v="SI"/>
    <n v="144"/>
    <n v="156"/>
    <n v="0.52"/>
  </r>
  <r>
    <s v="COD-234"/>
    <x v="5"/>
    <n v="45"/>
    <x v="6"/>
    <n v="1350"/>
    <s v="PROFESOR-004"/>
    <n v="540"/>
    <d v="2019-08-30T00:00:00"/>
    <x v="1"/>
    <s v="COMERCIAL-003"/>
    <n v="108"/>
    <s v="SI"/>
    <x v="0"/>
    <s v="VALLADOLID"/>
    <s v="SI"/>
    <n v="648"/>
    <n v="702"/>
    <n v="0.52"/>
  </r>
  <r>
    <s v="COD-235"/>
    <x v="6"/>
    <n v="25"/>
    <x v="5"/>
    <n v="625"/>
    <s v="PROFESOR-005"/>
    <n v="300"/>
    <d v="2019-03-10T00:00:00"/>
    <x v="2"/>
    <s v="COMERCIAL-002"/>
    <n v="43.75"/>
    <s v="SI"/>
    <x v="2"/>
    <s v="PARIS"/>
    <s v="SI"/>
    <n v="343.75"/>
    <n v="281.25"/>
    <n v="0.45"/>
  </r>
  <r>
    <s v="COD-236"/>
    <x v="6"/>
    <n v="20"/>
    <x v="4"/>
    <n v="500"/>
    <s v="PROFESOR-002"/>
    <n v="240"/>
    <d v="2020-05-08T00:00:00"/>
    <x v="2"/>
    <s v="COMERCIAL-004"/>
    <n v="35"/>
    <s v="SI"/>
    <x v="2"/>
    <s v="PARIS"/>
    <s v="SI"/>
    <n v="275"/>
    <n v="225"/>
    <n v="0.45"/>
  </r>
  <r>
    <s v="COD-237"/>
    <x v="6"/>
    <n v="10"/>
    <x v="7"/>
    <n v="250"/>
    <s v="PROFESOR-001"/>
    <n v="120"/>
    <d v="2019-08-28T00:00:00"/>
    <x v="2"/>
    <s v="COMERCIAL-003"/>
    <n v="17.5"/>
    <s v="SI"/>
    <x v="0"/>
    <s v="VALLADOLID"/>
    <s v="SI"/>
    <n v="137.5"/>
    <n v="112.5"/>
    <n v="0.45"/>
  </r>
  <r>
    <s v="COD-238"/>
    <x v="2"/>
    <n v="12"/>
    <x v="7"/>
    <n v="300"/>
    <s v="PROFESOR-004"/>
    <n v="144"/>
    <d v="2019-04-06T00:00:00"/>
    <x v="2"/>
    <s v="COMERCIAL-002"/>
    <n v="15"/>
    <s v="SI"/>
    <x v="0"/>
    <s v="VALLADOLID"/>
    <s v="SI"/>
    <n v="159"/>
    <n v="141"/>
    <n v="0.47"/>
  </r>
  <r>
    <s v="COD-239"/>
    <x v="2"/>
    <n v="15"/>
    <x v="6"/>
    <n v="1125"/>
    <s v="PROFESOR-003"/>
    <n v="180"/>
    <d v="2020-12-23T00:00:00"/>
    <x v="2"/>
    <s v="COMERCIAL-004"/>
    <n v="168.75"/>
    <s v="SI"/>
    <x v="0"/>
    <s v="VALLADOLID"/>
    <s v="SI"/>
    <n v="348.75"/>
    <n v="776.25"/>
    <n v="0.69"/>
  </r>
  <r>
    <s v="COD-240"/>
    <x v="2"/>
    <n v="20"/>
    <x v="4"/>
    <n v="1200"/>
    <s v="PROFESOR-002"/>
    <n v="240"/>
    <d v="2020-12-08T00:00:00"/>
    <x v="1"/>
    <s v="COMERCIAL-001"/>
    <n v="144"/>
    <s v="NO"/>
    <x v="2"/>
    <s v="PARIS"/>
    <s v="NO"/>
    <n v="384"/>
    <n v="816"/>
    <n v="0.68"/>
  </r>
  <r>
    <s v="COD-241"/>
    <x v="2"/>
    <n v="25"/>
    <x v="3"/>
    <n v="1500"/>
    <s v="PROFESOR-001"/>
    <n v="300"/>
    <d v="2021-08-07T00:00:00"/>
    <x v="0"/>
    <s v="COMERCIAL-003"/>
    <n v="180"/>
    <s v="NO"/>
    <x v="1"/>
    <s v="MILAN"/>
    <s v="SI"/>
    <n v="480"/>
    <n v="1020"/>
    <n v="0.68"/>
  </r>
  <r>
    <s v="COD-242"/>
    <x v="1"/>
    <n v="30"/>
    <x v="4"/>
    <n v="1800"/>
    <s v="PROFESOR-004"/>
    <n v="360"/>
    <d v="2019-03-09T00:00:00"/>
    <x v="1"/>
    <s v="COMERCIAL-002"/>
    <n v="216"/>
    <s v="SI"/>
    <x v="2"/>
    <s v="MARSELLA"/>
    <s v="SI"/>
    <n v="576"/>
    <n v="1224"/>
    <n v="0.68"/>
  </r>
  <r>
    <s v="COD-243"/>
    <x v="1"/>
    <n v="40"/>
    <x v="2"/>
    <n v="1600"/>
    <s v="PROFESOR-005"/>
    <n v="480"/>
    <d v="2021-09-29T00:00:00"/>
    <x v="0"/>
    <s v="COMERCIAL-004"/>
    <n v="160"/>
    <s v="NO"/>
    <x v="0"/>
    <s v="VALLADOLID"/>
    <s v="SI"/>
    <n v="640"/>
    <n v="960"/>
    <n v="0.6"/>
  </r>
  <r>
    <s v="COD-244"/>
    <x v="1"/>
    <n v="35"/>
    <x v="3"/>
    <n v="1400"/>
    <s v="PROFESOR-002"/>
    <n v="420"/>
    <d v="2020-05-04T00:00:00"/>
    <x v="0"/>
    <s v="COMERCIAL-001"/>
    <n v="140"/>
    <s v="SI"/>
    <x v="1"/>
    <s v="MILAN"/>
    <s v="SI"/>
    <n v="560"/>
    <n v="840"/>
    <n v="0.6"/>
  </r>
  <r>
    <s v="COD-245"/>
    <x v="0"/>
    <n v="45"/>
    <x v="4"/>
    <n v="1800"/>
    <s v="PROFESOR-001"/>
    <n v="540"/>
    <d v="2020-12-31T00:00:00"/>
    <x v="0"/>
    <s v="COMERCIAL-002"/>
    <n v="180"/>
    <s v="SI"/>
    <x v="2"/>
    <s v="MARSELLA"/>
    <s v="SI"/>
    <n v="720"/>
    <n v="1080"/>
    <n v="0.6"/>
  </r>
  <r>
    <s v="COD-246"/>
    <x v="0"/>
    <n v="18"/>
    <x v="3"/>
    <n v="720"/>
    <s v="PROFESOR-004"/>
    <n v="216"/>
    <d v="2020-02-25T00:00:00"/>
    <x v="0"/>
    <s v="COMERCIAL-004"/>
    <n v="72"/>
    <s v="SI"/>
    <x v="1"/>
    <s v="MILAN"/>
    <s v="SI"/>
    <n v="288"/>
    <n v="432"/>
    <n v="0.6"/>
  </r>
  <r>
    <s v="COD-247"/>
    <x v="2"/>
    <n v="10"/>
    <x v="2"/>
    <n v="300"/>
    <s v="PROFESOR-005"/>
    <n v="120"/>
    <d v="2021-07-31T00:00:00"/>
    <x v="1"/>
    <s v="COMERCIAL-001"/>
    <n v="24"/>
    <s v="SI"/>
    <x v="0"/>
    <s v="VALLADOLID"/>
    <s v="SI"/>
    <n v="144"/>
    <n v="156"/>
    <n v="0.52"/>
  </r>
  <r>
    <s v="COD-248"/>
    <x v="2"/>
    <n v="12"/>
    <x v="3"/>
    <n v="360"/>
    <s v="PROFESOR-002"/>
    <n v="144"/>
    <d v="2020-05-30T00:00:00"/>
    <x v="1"/>
    <s v="COMERCIAL-003"/>
    <n v="28.8"/>
    <s v="SI"/>
    <x v="1"/>
    <s v="MILAN"/>
    <s v="SI"/>
    <n v="172.8"/>
    <n v="187.2"/>
    <n v="0.52"/>
  </r>
  <r>
    <s v="COD-249"/>
    <x v="1"/>
    <n v="15"/>
    <x v="5"/>
    <n v="450"/>
    <s v="PROFESOR-001"/>
    <n v="180"/>
    <d v="2021-01-13T00:00:00"/>
    <x v="1"/>
    <s v="COMERCIAL-002"/>
    <n v="36"/>
    <s v="SI"/>
    <x v="2"/>
    <s v="MARSELLA"/>
    <s v="SI"/>
    <n v="216"/>
    <n v="234"/>
    <n v="0.52"/>
  </r>
  <r>
    <s v="COD-250"/>
    <x v="1"/>
    <n v="25"/>
    <x v="0"/>
    <n v="625"/>
    <s v="PROFESOR-003"/>
    <n v="300"/>
    <d v="2019-12-12T00:00:00"/>
    <x v="1"/>
    <s v="COMERCIAL-004"/>
    <n v="43.75"/>
    <s v="SI"/>
    <x v="0"/>
    <s v="VALLADOLID"/>
    <s v="SI"/>
    <n v="343.75"/>
    <n v="281.25"/>
    <n v="0.45"/>
  </r>
  <r>
    <s v="COD-251"/>
    <x v="1"/>
    <n v="15"/>
    <x v="1"/>
    <n v="375"/>
    <s v="PROFESOR-002"/>
    <n v="180"/>
    <d v="2019-12-26T00:00:00"/>
    <x v="2"/>
    <s v="COMERCIAL-003"/>
    <n v="26.25"/>
    <s v="SI"/>
    <x v="1"/>
    <s v="MILAN"/>
    <s v="SI"/>
    <n v="206.25"/>
    <n v="168.75"/>
    <n v="0.45"/>
  </r>
  <r>
    <s v="COD-252"/>
    <x v="0"/>
    <n v="10"/>
    <x v="2"/>
    <n v="250"/>
    <s v="PROFESOR-001"/>
    <n v="120"/>
    <d v="2021-03-16T00:00:00"/>
    <x v="2"/>
    <s v="COMERCIAL-002"/>
    <n v="17.5"/>
    <s v="SI"/>
    <x v="0"/>
    <s v="VALLADOLID"/>
    <s v="SI"/>
    <n v="137.5"/>
    <n v="112.5"/>
    <n v="0.45"/>
  </r>
  <r>
    <s v="COD-253"/>
    <x v="0"/>
    <n v="12"/>
    <x v="3"/>
    <n v="300"/>
    <s v="PROFESOR-004"/>
    <n v="144"/>
    <d v="2021-06-29T00:00:00"/>
    <x v="2"/>
    <s v="COMERCIAL-004"/>
    <n v="21"/>
    <s v="SI"/>
    <x v="1"/>
    <s v="MILAN"/>
    <s v="SI"/>
    <n v="165"/>
    <n v="135"/>
    <n v="0.45"/>
  </r>
  <r>
    <s v="COD-254"/>
    <x v="0"/>
    <n v="15"/>
    <x v="4"/>
    <n v="450"/>
    <s v="PROFESOR-005"/>
    <n v="180"/>
    <d v="2019-11-12T00:00:00"/>
    <x v="1"/>
    <s v="COMERCIAL-001"/>
    <n v="36"/>
    <s v="SI"/>
    <x v="2"/>
    <s v="MARSELLA"/>
    <s v="SI"/>
    <n v="216"/>
    <n v="234"/>
    <n v="0.52"/>
  </r>
  <r>
    <s v="COD-255"/>
    <x v="3"/>
    <n v="25"/>
    <x v="3"/>
    <n v="1000"/>
    <s v="PROFESOR-002"/>
    <n v="300"/>
    <d v="2021-09-22T00:00:00"/>
    <x v="1"/>
    <s v="COMERCIAL-002"/>
    <n v="100"/>
    <s v="SI"/>
    <x v="1"/>
    <s v="MILAN"/>
    <s v="SI"/>
    <n v="400"/>
    <n v="600"/>
    <n v="0.6"/>
  </r>
  <r>
    <s v="COD-256"/>
    <x v="5"/>
    <n v="15"/>
    <x v="2"/>
    <n v="375"/>
    <s v="PROFESOR-001"/>
    <n v="180"/>
    <d v="2021-07-07T00:00:00"/>
    <x v="1"/>
    <s v="COMERCIAL-004"/>
    <n v="26.25"/>
    <s v="SI"/>
    <x v="0"/>
    <s v="VALLADOLID"/>
    <s v="SI"/>
    <n v="206.25"/>
    <n v="168.75"/>
    <n v="0.45"/>
  </r>
  <r>
    <s v="COD-257"/>
    <x v="6"/>
    <n v="20"/>
    <x v="3"/>
    <n v="500"/>
    <s v="PROFESOR-004"/>
    <n v="240"/>
    <d v="2020-08-30T00:00:00"/>
    <x v="1"/>
    <s v="COMERCIAL-001"/>
    <n v="35"/>
    <s v="NO"/>
    <x v="1"/>
    <s v="MILAN"/>
    <s v="SI"/>
    <n v="275"/>
    <n v="225"/>
    <n v="0.45"/>
  </r>
  <r>
    <s v="COD-258"/>
    <x v="6"/>
    <n v="20"/>
    <x v="5"/>
    <n v="500"/>
    <s v="PROFESOR-003"/>
    <n v="240"/>
    <d v="2021-05-07T00:00:00"/>
    <x v="2"/>
    <s v="COMERCIAL-003"/>
    <n v="35"/>
    <s v="NO"/>
    <x v="2"/>
    <s v="MARSELLA"/>
    <s v="SI"/>
    <n v="275"/>
    <n v="225"/>
    <n v="0.45"/>
  </r>
  <r>
    <s v="COD-259"/>
    <x v="6"/>
    <n v="30"/>
    <x v="2"/>
    <n v="900"/>
    <s v="PROFESOR-002"/>
    <n v="360"/>
    <d v="2021-10-19T00:00:00"/>
    <x v="2"/>
    <s v="COMERCIAL-002"/>
    <n v="72"/>
    <s v="NO"/>
    <x v="0"/>
    <s v="VALLADOLID"/>
    <s v="SI"/>
    <n v="432"/>
    <n v="468"/>
    <n v="0.52"/>
  </r>
  <r>
    <s v="COD-260"/>
    <x v="2"/>
    <n v="35"/>
    <x v="6"/>
    <n v="1050"/>
    <s v="PROFESOR-001"/>
    <n v="420"/>
    <d v="2021-06-27T00:00:00"/>
    <x v="2"/>
    <s v="COMERCIAL-004"/>
    <n v="84"/>
    <s v="SI"/>
    <x v="0"/>
    <s v="VALLADOLID"/>
    <s v="SI"/>
    <n v="504"/>
    <n v="546"/>
    <n v="0.52"/>
  </r>
  <r>
    <s v="COD-261"/>
    <x v="2"/>
    <n v="40"/>
    <x v="4"/>
    <n v="1200"/>
    <s v="PROFESOR-004"/>
    <n v="480"/>
    <d v="2019-01-20T00:00:00"/>
    <x v="2"/>
    <s v="COMERCIAL-003"/>
    <n v="96"/>
    <s v="NO"/>
    <x v="2"/>
    <s v="MARSELLA"/>
    <s v="NO"/>
    <n v="576"/>
    <n v="624"/>
    <n v="0.52"/>
  </r>
  <r>
    <s v="COD-262"/>
    <x v="2"/>
    <n v="18"/>
    <x v="5"/>
    <n v="450"/>
    <s v="PROFESOR-005"/>
    <n v="216"/>
    <d v="2020-02-21T00:00:00"/>
    <x v="2"/>
    <s v="COMERCIAL-002"/>
    <n v="22.5"/>
    <s v="NO"/>
    <x v="2"/>
    <s v="MARSELLA"/>
    <s v="SI"/>
    <n v="238.5"/>
    <n v="211.5"/>
    <n v="0.47"/>
  </r>
  <r>
    <s v="COD-263"/>
    <x v="2"/>
    <n v="10"/>
    <x v="7"/>
    <n v="250"/>
    <s v="PROFESOR-002"/>
    <n v="120"/>
    <d v="2020-03-02T00:00:00"/>
    <x v="1"/>
    <s v="COMERCIAL-004"/>
    <n v="12.5"/>
    <s v="SI"/>
    <x v="0"/>
    <s v="VALLADOLID"/>
    <s v="SI"/>
    <n v="132.5"/>
    <n v="117.5"/>
    <n v="0.47"/>
  </r>
  <r>
    <s v="COD-264"/>
    <x v="1"/>
    <n v="45"/>
    <x v="3"/>
    <n v="1125"/>
    <s v="PROFESOR-001"/>
    <n v="540"/>
    <d v="2019-09-26T00:00:00"/>
    <x v="2"/>
    <s v="COMERCIAL-001"/>
    <n v="56.25"/>
    <s v="NO"/>
    <x v="1"/>
    <s v="MILAN"/>
    <s v="SI"/>
    <n v="596.25"/>
    <n v="528.75"/>
    <n v="0.47"/>
  </r>
  <r>
    <s v="COD-265"/>
    <x v="1"/>
    <n v="25"/>
    <x v="4"/>
    <n v="625"/>
    <s v="PROFESOR-004"/>
    <n v="300"/>
    <d v="2019-12-19T00:00:00"/>
    <x v="2"/>
    <s v="COMERCIAL-003"/>
    <n v="31.25"/>
    <s v="NO"/>
    <x v="2"/>
    <s v="MARSELLA"/>
    <s v="SI"/>
    <n v="331.25"/>
    <n v="293.75"/>
    <n v="0.47"/>
  </r>
  <r>
    <s v="COD-266"/>
    <x v="1"/>
    <n v="20"/>
    <x v="5"/>
    <n v="500"/>
    <s v="PROFESOR-003"/>
    <n v="240"/>
    <d v="2021-12-24T00:00:00"/>
    <x v="2"/>
    <s v="COMERCIAL-002"/>
    <n v="25"/>
    <s v="SI"/>
    <x v="2"/>
    <s v="MARSELLA"/>
    <s v="SI"/>
    <n v="265"/>
    <n v="235"/>
    <n v="0.47"/>
  </r>
  <r>
    <s v="COD-267"/>
    <x v="0"/>
    <n v="10"/>
    <x v="2"/>
    <n v="750"/>
    <s v="PROFESOR-002"/>
    <n v="120"/>
    <d v="2021-07-03T00:00:00"/>
    <x v="1"/>
    <s v="COMERCIAL-004"/>
    <n v="112.5"/>
    <s v="NO"/>
    <x v="0"/>
    <s v="VALLADOLID"/>
    <s v="SI"/>
    <n v="232.5"/>
    <n v="517.5"/>
    <n v="0.69"/>
  </r>
  <r>
    <s v="COD-268"/>
    <x v="0"/>
    <n v="12"/>
    <x v="6"/>
    <n v="720"/>
    <s v="PROFESOR-001"/>
    <n v="144"/>
    <d v="2020-06-15T00:00:00"/>
    <x v="1"/>
    <s v="COMERCIAL-001"/>
    <n v="86.4"/>
    <s v="SI"/>
    <x v="0"/>
    <s v="VALLADOLID"/>
    <s v="SI"/>
    <n v="230.4"/>
    <n v="489.6"/>
    <n v="0.68"/>
  </r>
  <r>
    <s v="COD-269"/>
    <x v="0"/>
    <n v="15"/>
    <x v="6"/>
    <n v="900"/>
    <s v="PROFESOR-004"/>
    <n v="180"/>
    <d v="2019-07-03T00:00:00"/>
    <x v="1"/>
    <s v="COMERCIAL-002"/>
    <n v="108"/>
    <s v="SI"/>
    <x v="0"/>
    <s v="VALENCIA"/>
    <s v="SI"/>
    <n v="288"/>
    <n v="612"/>
    <n v="0.68"/>
  </r>
  <r>
    <s v="COD-270"/>
    <x v="0"/>
    <n v="20"/>
    <x v="5"/>
    <n v="500"/>
    <s v="PROFESOR-005"/>
    <n v="240"/>
    <d v="2020-05-16T00:00:00"/>
    <x v="1"/>
    <s v="COMERCIAL-004"/>
    <n v="35"/>
    <s v="SI"/>
    <x v="2"/>
    <s v="MARSELLA"/>
    <s v="SI"/>
    <n v="275"/>
    <n v="225"/>
    <n v="0.45"/>
  </r>
  <r>
    <s v="COD-271"/>
    <x v="1"/>
    <n v="25"/>
    <x v="4"/>
    <n v="750"/>
    <s v="PROFESOR-002"/>
    <n v="300"/>
    <d v="2020-04-12T00:00:00"/>
    <x v="2"/>
    <s v="COMERCIAL-001"/>
    <n v="60"/>
    <s v="SI"/>
    <x v="2"/>
    <s v="MARSELLA"/>
    <s v="SI"/>
    <n v="360"/>
    <n v="390"/>
    <n v="0.52"/>
  </r>
  <r>
    <s v="COD-272"/>
    <x v="2"/>
    <n v="30"/>
    <x v="7"/>
    <n v="900"/>
    <s v="PROFESOR-001"/>
    <n v="360"/>
    <d v="2020-10-28T00:00:00"/>
    <x v="2"/>
    <s v="COMERCIAL-003"/>
    <n v="72"/>
    <s v="SI"/>
    <x v="0"/>
    <s v="VALENCIA"/>
    <s v="NO"/>
    <n v="432"/>
    <n v="468"/>
    <n v="0.52"/>
  </r>
  <r>
    <s v="COD-273"/>
    <x v="0"/>
    <n v="40"/>
    <x v="7"/>
    <n v="1200"/>
    <s v="PROFESOR-004"/>
    <n v="480"/>
    <d v="2021-04-11T00:00:00"/>
    <x v="2"/>
    <s v="COMERCIAL-003"/>
    <n v="96"/>
    <s v="SI"/>
    <x v="0"/>
    <s v="VALENCIA"/>
    <s v="SI"/>
    <n v="576"/>
    <n v="624"/>
    <n v="0.52"/>
  </r>
  <r>
    <s v="COD-274"/>
    <x v="0"/>
    <n v="35"/>
    <x v="6"/>
    <n v="875"/>
    <s v="PROFESOR-005"/>
    <n v="420"/>
    <d v="2020-07-01T00:00:00"/>
    <x v="2"/>
    <s v="COMERCIAL-002"/>
    <n v="43.75"/>
    <s v="SI"/>
    <x v="0"/>
    <s v="VALENCIA"/>
    <s v="SI"/>
    <n v="463.75"/>
    <n v="411.25"/>
    <n v="0.47"/>
  </r>
  <r>
    <s v="COD-275"/>
    <x v="0"/>
    <n v="45"/>
    <x v="4"/>
    <n v="1125"/>
    <s v="PROFESOR-002"/>
    <n v="540"/>
    <d v="2020-07-18T00:00:00"/>
    <x v="2"/>
    <s v="COMERCIAL-004"/>
    <n v="56.25"/>
    <s v="SI"/>
    <x v="2"/>
    <s v="MARSELLA"/>
    <s v="SI"/>
    <n v="596.25"/>
    <n v="528.75"/>
    <n v="0.47"/>
  </r>
  <r>
    <s v="COD-276"/>
    <x v="1"/>
    <n v="18"/>
    <x v="3"/>
    <n v="450"/>
    <s v="PROFESOR-001"/>
    <n v="216"/>
    <d v="2021-08-04T00:00:00"/>
    <x v="1"/>
    <s v="COMERCIAL-001"/>
    <n v="22.5"/>
    <s v="SI"/>
    <x v="1"/>
    <s v="ROMA"/>
    <s v="SI"/>
    <n v="238.5"/>
    <n v="211.5"/>
    <n v="0.47"/>
  </r>
  <r>
    <s v="COD-277"/>
    <x v="1"/>
    <n v="10"/>
    <x v="4"/>
    <n v="250"/>
    <s v="PROFESOR-004"/>
    <n v="120"/>
    <d v="2020-10-08T00:00:00"/>
    <x v="0"/>
    <s v="COMERCIAL-002"/>
    <n v="12.5"/>
    <s v="SI"/>
    <x v="2"/>
    <s v="MARSELLA"/>
    <s v="SI"/>
    <n v="132.5"/>
    <n v="117.5"/>
    <n v="0.47"/>
  </r>
  <r>
    <s v="COD-278"/>
    <x v="1"/>
    <n v="12"/>
    <x v="2"/>
    <n v="300"/>
    <s v="PROFESOR-005"/>
    <n v="144"/>
    <d v="2019-12-03T00:00:00"/>
    <x v="1"/>
    <s v="COMERCIAL-004"/>
    <n v="15"/>
    <s v="SI"/>
    <x v="0"/>
    <s v="MADRID"/>
    <s v="SI"/>
    <n v="159"/>
    <n v="141"/>
    <n v="0.47"/>
  </r>
  <r>
    <s v="COD-279"/>
    <x v="3"/>
    <n v="15"/>
    <x v="3"/>
    <n v="1125"/>
    <s v="PROFESOR-002"/>
    <n v="180"/>
    <d v="2019-05-19T00:00:00"/>
    <x v="0"/>
    <s v="COMERCIAL-001"/>
    <n v="168.75"/>
    <s v="SI"/>
    <x v="1"/>
    <s v="ROMA"/>
    <s v="SI"/>
    <n v="348.75"/>
    <n v="776.25"/>
    <n v="0.69"/>
  </r>
  <r>
    <s v="COD-280"/>
    <x v="4"/>
    <n v="25"/>
    <x v="4"/>
    <n v="1500"/>
    <s v="PROFESOR-001"/>
    <n v="300"/>
    <d v="2020-10-27T00:00:00"/>
    <x v="0"/>
    <s v="COMERCIAL-003"/>
    <n v="180"/>
    <s v="SI"/>
    <x v="2"/>
    <s v="MARSELLA"/>
    <s v="SI"/>
    <n v="480"/>
    <n v="1020"/>
    <n v="0.68"/>
  </r>
  <r>
    <s v="COD-281"/>
    <x v="6"/>
    <n v="15"/>
    <x v="3"/>
    <n v="900"/>
    <s v="PROFESOR-004"/>
    <n v="180"/>
    <d v="2020-08-21T00:00:00"/>
    <x v="0"/>
    <s v="COMERCIAL-002"/>
    <n v="108"/>
    <s v="NO"/>
    <x v="1"/>
    <s v="ROMA"/>
    <s v="SI"/>
    <n v="288"/>
    <n v="612"/>
    <n v="0.68"/>
  </r>
  <r>
    <s v="COD-282"/>
    <x v="6"/>
    <n v="10"/>
    <x v="2"/>
    <n v="600"/>
    <s v="PROFESOR-003"/>
    <n v="120"/>
    <d v="2020-09-24T00:00:00"/>
    <x v="0"/>
    <s v="COMERCIAL-004"/>
    <n v="72"/>
    <s v="NO"/>
    <x v="0"/>
    <s v="MADRID"/>
    <s v="SI"/>
    <n v="192"/>
    <n v="408"/>
    <n v="0.68"/>
  </r>
  <r>
    <s v="COD-283"/>
    <x v="2"/>
    <n v="12"/>
    <x v="3"/>
    <n v="480"/>
    <s v="PROFESOR-002"/>
    <n v="144"/>
    <d v="2020-05-02T00:00:00"/>
    <x v="1"/>
    <s v="COMERCIAL-003"/>
    <n v="48"/>
    <s v="SI"/>
    <x v="1"/>
    <s v="ROMA"/>
    <s v="SI"/>
    <n v="192"/>
    <n v="288"/>
    <n v="0.6"/>
  </r>
  <r>
    <s v="COD-284"/>
    <x v="2"/>
    <n v="15"/>
    <x v="5"/>
    <n v="600"/>
    <s v="PROFESOR-001"/>
    <n v="180"/>
    <d v="2021-01-09T00:00:00"/>
    <x v="1"/>
    <s v="COMERCIAL-002"/>
    <n v="60"/>
    <s v="NO"/>
    <x v="2"/>
    <s v="MARSELLA"/>
    <s v="SI"/>
    <n v="240"/>
    <n v="360"/>
    <n v="0.6"/>
  </r>
  <r>
    <s v="COD-285"/>
    <x v="2"/>
    <n v="25"/>
    <x v="2"/>
    <n v="1000"/>
    <s v="PROFESOR-004"/>
    <n v="300"/>
    <d v="2020-06-28T00:00:00"/>
    <x v="1"/>
    <s v="COMERCIAL-004"/>
    <n v="100"/>
    <s v="SI"/>
    <x v="0"/>
    <s v="MADRID"/>
    <s v="SI"/>
    <n v="400"/>
    <n v="600"/>
    <n v="0.6"/>
  </r>
  <r>
    <s v="COD-286"/>
    <x v="2"/>
    <n v="15"/>
    <x v="6"/>
    <n v="600"/>
    <s v="PROFESOR-005"/>
    <n v="180"/>
    <d v="2020-09-30T00:00:00"/>
    <x v="2"/>
    <s v="COMERCIAL-001"/>
    <n v="60"/>
    <s v="SI"/>
    <x v="0"/>
    <s v="MADRID"/>
    <s v="SI"/>
    <n v="240"/>
    <n v="360"/>
    <n v="0.6"/>
  </r>
  <r>
    <s v="COD-287"/>
    <x v="1"/>
    <n v="20"/>
    <x v="4"/>
    <n v="600"/>
    <s v="PROFESOR-002"/>
    <n v="240"/>
    <d v="2019-12-03T00:00:00"/>
    <x v="2"/>
    <s v="COMERCIAL-003"/>
    <n v="48"/>
    <s v="SI"/>
    <x v="2"/>
    <s v="MARSELLA"/>
    <s v="SI"/>
    <n v="288"/>
    <n v="312"/>
    <n v="0.52"/>
  </r>
  <r>
    <s v="COD-288"/>
    <x v="1"/>
    <n v="20"/>
    <x v="5"/>
    <n v="600"/>
    <s v="PROFESOR-001"/>
    <n v="240"/>
    <d v="2021-10-20T00:00:00"/>
    <x v="2"/>
    <s v="COMERCIAL-002"/>
    <n v="48"/>
    <s v="SI"/>
    <x v="2"/>
    <s v="PARIS"/>
    <s v="SI"/>
    <n v="288"/>
    <n v="312"/>
    <n v="0.52"/>
  </r>
  <r>
    <s v="COD-289"/>
    <x v="1"/>
    <n v="30"/>
    <x v="7"/>
    <n v="900"/>
    <s v="PROFESOR-004"/>
    <n v="360"/>
    <d v="2019-09-14T00:00:00"/>
    <x v="2"/>
    <s v="COMERCIAL-004"/>
    <n v="72"/>
    <s v="SI"/>
    <x v="0"/>
    <s v="MADRID"/>
    <s v="SI"/>
    <n v="432"/>
    <n v="468"/>
    <n v="0.52"/>
  </r>
  <r>
    <s v="COD-290"/>
    <x v="0"/>
    <n v="35"/>
    <x v="3"/>
    <n v="875"/>
    <s v="PROFESOR-005"/>
    <n v="420"/>
    <d v="2021-05-25T00:00:00"/>
    <x v="2"/>
    <s v="COMERCIAL-001"/>
    <n v="61.25"/>
    <s v="SI"/>
    <x v="1"/>
    <s v="ROMA"/>
    <s v="SI"/>
    <n v="481.25"/>
    <n v="393.75"/>
    <n v="0.45"/>
  </r>
  <r>
    <s v="COD-291"/>
    <x v="0"/>
    <n v="40"/>
    <x v="4"/>
    <n v="1000"/>
    <s v="PROFESOR-002"/>
    <n v="480"/>
    <d v="2020-07-25T00:00:00"/>
    <x v="1"/>
    <s v="COMERCIAL-002"/>
    <n v="70"/>
    <s v="SI"/>
    <x v="2"/>
    <s v="PARIS"/>
    <s v="SI"/>
    <n v="550"/>
    <n v="450"/>
    <n v="0.45"/>
  </r>
  <r>
    <s v="COD-292"/>
    <x v="0"/>
    <n v="40"/>
    <x v="5"/>
    <n v="1000"/>
    <s v="PROFESOR-001"/>
    <n v="480"/>
    <d v="2020-07-06T00:00:00"/>
    <x v="2"/>
    <s v="COMERCIAL-004"/>
    <n v="70"/>
    <s v="SI"/>
    <x v="2"/>
    <s v="PARIS"/>
    <s v="SI"/>
    <n v="550"/>
    <n v="450"/>
    <n v="0.45"/>
  </r>
  <r>
    <s v="COD-293"/>
    <x v="0"/>
    <n v="35"/>
    <x v="2"/>
    <n v="875"/>
    <s v="PROFESOR-004"/>
    <n v="420"/>
    <d v="2021-08-21T00:00:00"/>
    <x v="2"/>
    <s v="COMERCIAL-001"/>
    <n v="61.25"/>
    <s v="SI"/>
    <x v="0"/>
    <s v="MADRID"/>
    <s v="SI"/>
    <n v="481.25"/>
    <n v="393.75"/>
    <n v="0.45"/>
  </r>
  <r>
    <s v="COD-294"/>
    <x v="1"/>
    <n v="10"/>
    <x v="6"/>
    <n v="300"/>
    <s v="PROFESOR-003"/>
    <n v="120"/>
    <d v="2021-02-15T00:00:00"/>
    <x v="2"/>
    <s v="COMERCIAL-003"/>
    <n v="24"/>
    <s v="SI"/>
    <x v="0"/>
    <s v="MADRID"/>
    <s v="SI"/>
    <n v="144"/>
    <n v="156"/>
    <n v="0.52"/>
  </r>
  <r>
    <s v="COD-295"/>
    <x v="2"/>
    <n v="12"/>
    <x v="6"/>
    <n v="480"/>
    <s v="PROFESOR-002"/>
    <n v="144"/>
    <d v="2019-01-31T00:00:00"/>
    <x v="1"/>
    <s v="COMERCIAL-002"/>
    <n v="48"/>
    <s v="SI"/>
    <x v="0"/>
    <s v="MADRID"/>
    <s v="SI"/>
    <n v="192"/>
    <n v="288"/>
    <n v="0.6"/>
  </r>
  <r>
    <s v="COD-296"/>
    <x v="0"/>
    <n v="15"/>
    <x v="5"/>
    <n v="375"/>
    <s v="PROFESOR-001"/>
    <n v="180"/>
    <d v="2021-03-30T00:00:00"/>
    <x v="1"/>
    <s v="COMERCIAL-004"/>
    <n v="26.25"/>
    <s v="SI"/>
    <x v="2"/>
    <s v="PARIS"/>
    <s v="SI"/>
    <n v="206.25"/>
    <n v="168.75"/>
    <n v="0.45"/>
  </r>
  <r>
    <s v="COD-297"/>
    <x v="0"/>
    <n v="25"/>
    <x v="4"/>
    <n v="625"/>
    <s v="PROFESOR-001"/>
    <n v="300"/>
    <d v="2021-08-02T00:00:00"/>
    <x v="1"/>
    <s v="COMERCIAL-003"/>
    <n v="43.75"/>
    <s v="SI"/>
    <x v="2"/>
    <s v="PARIS"/>
    <s v="SI"/>
    <n v="343.75"/>
    <n v="281.25"/>
    <n v="0.45"/>
  </r>
  <r>
    <s v="COD-298"/>
    <x v="0"/>
    <n v="15"/>
    <x v="7"/>
    <n v="375"/>
    <s v="PROFESOR-004"/>
    <n v="180"/>
    <d v="2021-04-10T00:00:00"/>
    <x v="1"/>
    <s v="COMERCIAL-002"/>
    <n v="26.25"/>
    <s v="SI"/>
    <x v="0"/>
    <s v="MADRID"/>
    <s v="SI"/>
    <n v="206.25"/>
    <n v="168.75"/>
    <n v="0.45"/>
  </r>
  <r>
    <s v="COD-299"/>
    <x v="1"/>
    <n v="10"/>
    <x v="3"/>
    <n v="300"/>
    <s v="PROFESOR-005"/>
    <n v="120"/>
    <d v="2021-06-07T00:00:00"/>
    <x v="2"/>
    <s v="COMERCIAL-004"/>
    <n v="24"/>
    <s v="NO"/>
    <x v="1"/>
    <s v="ROMA"/>
    <s v="SI"/>
    <n v="144"/>
    <n v="156"/>
    <n v="0.52"/>
  </r>
  <r>
    <s v="COD-300"/>
    <x v="1"/>
    <n v="12"/>
    <x v="4"/>
    <n v="360"/>
    <s v="PROFESOR-002"/>
    <n v="144"/>
    <d v="2021-09-10T00:00:00"/>
    <x v="2"/>
    <s v="COMERCIAL-001"/>
    <n v="28.8"/>
    <s v="NO"/>
    <x v="2"/>
    <s v="PARIS"/>
    <s v="SI"/>
    <n v="172.8"/>
    <n v="187.2"/>
    <n v="0.52"/>
  </r>
  <r>
    <s v="COD-301"/>
    <x v="1"/>
    <n v="15"/>
    <x v="3"/>
    <n v="450"/>
    <s v="PROFESOR-001"/>
    <n v="180"/>
    <d v="2021-12-26T00:00:00"/>
    <x v="2"/>
    <s v="COMERCIAL-002"/>
    <n v="36"/>
    <s v="NO"/>
    <x v="1"/>
    <s v="ROMA"/>
    <s v="SI"/>
    <n v="216"/>
    <n v="234"/>
    <n v="0.52"/>
  </r>
  <r>
    <s v="COD-302"/>
    <x v="3"/>
    <n v="25"/>
    <x v="2"/>
    <n v="625"/>
    <s v="PROFESOR-004"/>
    <n v="300"/>
    <d v="2019-04-05T00:00:00"/>
    <x v="2"/>
    <s v="COMERCIAL-004"/>
    <n v="31.25"/>
    <s v="NO"/>
    <x v="0"/>
    <s v="MADRID"/>
    <s v="SI"/>
    <n v="331.25"/>
    <n v="293.75"/>
    <n v="0.47"/>
  </r>
  <r>
    <s v="COD-303"/>
    <x v="4"/>
    <n v="15"/>
    <x v="3"/>
    <n v="375"/>
    <s v="PROFESOR-003"/>
    <n v="180"/>
    <d v="2019-06-02T00:00:00"/>
    <x v="2"/>
    <s v="COMERCIAL-001"/>
    <n v="18.75"/>
    <s v="SI"/>
    <x v="1"/>
    <s v="ROMA"/>
    <s v="NO"/>
    <n v="198.75"/>
    <n v="176.25"/>
    <n v="0.47"/>
  </r>
  <r>
    <s v="COD-304"/>
    <x v="4"/>
    <n v="20"/>
    <x v="5"/>
    <n v="500"/>
    <s v="PROFESOR-002"/>
    <n v="240"/>
    <d v="2019-07-16T00:00:00"/>
    <x v="1"/>
    <s v="COMERCIAL-003"/>
    <n v="25"/>
    <s v="SI"/>
    <x v="2"/>
    <s v="PARIS"/>
    <s v="SI"/>
    <n v="265"/>
    <n v="235"/>
    <n v="0.47"/>
  </r>
  <r>
    <s v="COD-305"/>
    <x v="4"/>
    <n v="20"/>
    <x v="2"/>
    <n v="500"/>
    <s v="PROFESOR-001"/>
    <n v="240"/>
    <d v="2020-06-19T00:00:00"/>
    <x v="0"/>
    <s v="COMERCIAL-002"/>
    <n v="25"/>
    <s v="SI"/>
    <x v="0"/>
    <s v="MADRID"/>
    <s v="SI"/>
    <n v="265"/>
    <n v="235"/>
    <n v="0.47"/>
  </r>
  <r>
    <s v="COD-306"/>
    <x v="3"/>
    <n v="30"/>
    <x v="6"/>
    <n v="750"/>
    <s v="PROFESOR-004"/>
    <n v="360"/>
    <d v="2021-05-07T00:00:00"/>
    <x v="1"/>
    <s v="COMERCIAL-004"/>
    <n v="37.5"/>
    <s v="SI"/>
    <x v="0"/>
    <s v="VALLADOLID"/>
    <s v="SI"/>
    <n v="397.5"/>
    <n v="352.5"/>
    <n v="0.47"/>
  </r>
  <r>
    <s v="COD-307"/>
    <x v="5"/>
    <n v="35"/>
    <x v="4"/>
    <n v="2625"/>
    <s v="PROFESOR-005"/>
    <n v="420"/>
    <d v="2019-03-03T00:00:00"/>
    <x v="0"/>
    <s v="COMERCIAL-001"/>
    <n v="393.75"/>
    <s v="NO"/>
    <x v="2"/>
    <s v="PARIS"/>
    <s v="SI"/>
    <n v="813.75"/>
    <n v="1811.25"/>
    <n v="0.69"/>
  </r>
  <r>
    <s v="COD-308"/>
    <x v="6"/>
    <n v="40"/>
    <x v="5"/>
    <n v="2400"/>
    <s v="PROFESOR-002"/>
    <n v="480"/>
    <d v="2019-08-31T00:00:00"/>
    <x v="0"/>
    <s v="COMERCIAL-003"/>
    <n v="288"/>
    <s v="NO"/>
    <x v="2"/>
    <s v="PARIS"/>
    <s v="SI"/>
    <n v="768"/>
    <n v="1632"/>
    <n v="0.68"/>
  </r>
  <r>
    <s v="COD-309"/>
    <x v="6"/>
    <n v="40"/>
    <x v="7"/>
    <n v="2400"/>
    <s v="PROFESOR-001"/>
    <n v="480"/>
    <d v="2021-10-11T00:00:00"/>
    <x v="0"/>
    <s v="COMERCIAL-002"/>
    <n v="288"/>
    <s v="SI"/>
    <x v="0"/>
    <s v="VALLADOLID"/>
    <s v="SI"/>
    <n v="768"/>
    <n v="1632"/>
    <n v="0.68"/>
  </r>
  <r>
    <s v="COD-310"/>
    <x v="6"/>
    <n v="35"/>
    <x v="3"/>
    <n v="2100"/>
    <s v="PROFESOR-004"/>
    <n v="420"/>
    <d v="2021-05-21T00:00:00"/>
    <x v="0"/>
    <s v="COMERCIAL-004"/>
    <n v="252"/>
    <s v="NO"/>
    <x v="1"/>
    <s v="ROMA"/>
    <s v="SI"/>
    <n v="672"/>
    <n v="1428"/>
    <n v="0.68"/>
  </r>
  <r>
    <s v="COD-311"/>
    <x v="2"/>
    <n v="45"/>
    <x v="4"/>
    <n v="1800"/>
    <s v="PROFESOR-005"/>
    <n v="540"/>
    <d v="2021-08-17T00:00:00"/>
    <x v="1"/>
    <s v="COMERCIAL-001"/>
    <n v="180"/>
    <s v="NO"/>
    <x v="2"/>
    <s v="PARIS"/>
    <s v="SI"/>
    <n v="720"/>
    <n v="1080"/>
    <n v="0.6"/>
  </r>
  <r>
    <s v="COD-312"/>
    <x v="0"/>
    <n v="25"/>
    <x v="5"/>
    <n v="625"/>
    <s v="PROFESOR-002"/>
    <n v="300"/>
    <d v="2021-07-23T00:00:00"/>
    <x v="1"/>
    <s v="COMERCIAL-002"/>
    <n v="43.75"/>
    <s v="SI"/>
    <x v="2"/>
    <s v="PARIS"/>
    <s v="SI"/>
    <n v="343.75"/>
    <n v="281.25"/>
    <n v="0.45"/>
  </r>
  <r>
    <s v="COD-313"/>
    <x v="0"/>
    <n v="20"/>
    <x v="2"/>
    <n v="500"/>
    <s v="PROFESOR-001"/>
    <n v="240"/>
    <d v="2020-08-26T00:00:00"/>
    <x v="0"/>
    <s v="COMERCIAL-004"/>
    <n v="35"/>
    <s v="NO"/>
    <x v="0"/>
    <s v="VALLADOLID"/>
    <s v="SI"/>
    <n v="275"/>
    <n v="225"/>
    <n v="0.45"/>
  </r>
  <r>
    <s v="COD-314"/>
    <x v="0"/>
    <n v="10"/>
    <x v="6"/>
    <n v="250"/>
    <s v="PROFESOR-003"/>
    <n v="120"/>
    <d v="2019-01-03T00:00:00"/>
    <x v="1"/>
    <s v="COMERCIAL-001"/>
    <n v="17.5"/>
    <s v="SI"/>
    <x v="0"/>
    <s v="VALENCIA"/>
    <s v="SI"/>
    <n v="137.5"/>
    <n v="112.5"/>
    <n v="0.45"/>
  </r>
  <r>
    <s v="COD-315"/>
    <x v="1"/>
    <n v="12"/>
    <x v="6"/>
    <n v="360"/>
    <s v="PROFESOR-002"/>
    <n v="144"/>
    <d v="2021-08-01T00:00:00"/>
    <x v="0"/>
    <s v="COMERCIAL-003"/>
    <n v="28.8"/>
    <s v="SI"/>
    <x v="0"/>
    <s v="VALENCIA"/>
    <s v="SI"/>
    <n v="172.8"/>
    <n v="187.2"/>
    <n v="0.52"/>
  </r>
  <r>
    <s v="COD-316"/>
    <x v="1"/>
    <n v="15"/>
    <x v="5"/>
    <n v="450"/>
    <s v="PROFESOR-001"/>
    <n v="180"/>
    <d v="2019-01-06T00:00:00"/>
    <x v="0"/>
    <s v="COMERCIAL-002"/>
    <n v="36"/>
    <s v="NO"/>
    <x v="2"/>
    <s v="PARIS"/>
    <s v="SI"/>
    <n v="216"/>
    <n v="234"/>
    <n v="0.52"/>
  </r>
  <r>
    <s v="COD-317"/>
    <x v="1"/>
    <n v="20"/>
    <x v="4"/>
    <n v="600"/>
    <s v="PROFESOR-004"/>
    <n v="240"/>
    <d v="2021-02-03T00:00:00"/>
    <x v="0"/>
    <s v="COMERCIAL-004"/>
    <n v="48"/>
    <s v="NO"/>
    <x v="2"/>
    <s v="PARIS"/>
    <s v="SI"/>
    <n v="288"/>
    <n v="312"/>
    <n v="0.52"/>
  </r>
  <r>
    <s v="COD-318"/>
    <x v="3"/>
    <n v="25"/>
    <x v="7"/>
    <n v="625"/>
    <s v="PROFESOR-005"/>
    <n v="300"/>
    <d v="2019-10-30T00:00:00"/>
    <x v="0"/>
    <s v="COMERCIAL-003"/>
    <n v="31.25"/>
    <s v="SI"/>
    <x v="0"/>
    <s v="VALENCIA"/>
    <s v="SI"/>
    <n v="331.25"/>
    <n v="293.75"/>
    <n v="0.47"/>
  </r>
  <r>
    <s v="COD-319"/>
    <x v="4"/>
    <n v="30"/>
    <x v="7"/>
    <n v="750"/>
    <s v="PROFESOR-002"/>
    <n v="360"/>
    <d v="2020-04-14T00:00:00"/>
    <x v="1"/>
    <s v="COMERCIAL-002"/>
    <n v="37.5"/>
    <s v="SI"/>
    <x v="0"/>
    <s v="VALENCIA"/>
    <s v="SI"/>
    <n v="397.5"/>
    <n v="352.5"/>
    <n v="0.47"/>
  </r>
  <r>
    <s v="COD-320"/>
    <x v="4"/>
    <n v="40"/>
    <x v="6"/>
    <n v="1000"/>
    <s v="PROFESOR-001"/>
    <n v="480"/>
    <d v="2019-06-24T00:00:00"/>
    <x v="1"/>
    <s v="COMERCIAL-004"/>
    <n v="50"/>
    <s v="SI"/>
    <x v="0"/>
    <s v="VALENCIA"/>
    <s v="SI"/>
    <n v="530"/>
    <n v="470"/>
    <n v="0.47"/>
  </r>
  <r>
    <s v="COD-321"/>
    <x v="4"/>
    <n v="35"/>
    <x v="4"/>
    <n v="875"/>
    <s v="PROFESOR-004"/>
    <n v="420"/>
    <d v="2020-09-20T00:00:00"/>
    <x v="1"/>
    <s v="COMERCIAL-001"/>
    <n v="43.75"/>
    <s v="SI"/>
    <x v="2"/>
    <s v="MARSELLA"/>
    <s v="NO"/>
    <n v="463.75"/>
    <n v="411.25"/>
    <n v="0.47"/>
  </r>
  <r>
    <s v="COD-322"/>
    <x v="3"/>
    <n v="45"/>
    <x v="3"/>
    <n v="1125"/>
    <s v="PROFESOR-003"/>
    <n v="540"/>
    <d v="2020-01-23T00:00:00"/>
    <x v="1"/>
    <s v="COMERCIAL-003"/>
    <n v="56.25"/>
    <s v="NO"/>
    <x v="1"/>
    <s v="ROMA"/>
    <s v="NO"/>
    <n v="596.25"/>
    <n v="528.75"/>
    <n v="0.47"/>
  </r>
  <r>
    <s v="COD-323"/>
    <x v="5"/>
    <n v="18"/>
    <x v="4"/>
    <n v="1350"/>
    <s v="PROFESOR-002"/>
    <n v="216"/>
    <d v="2019-10-11T00:00:00"/>
    <x v="2"/>
    <s v="COMERCIAL-002"/>
    <n v="202.5"/>
    <s v="SI"/>
    <x v="2"/>
    <s v="MARSELLA"/>
    <s v="SI"/>
    <n v="418.5"/>
    <n v="931.5"/>
    <n v="0.69"/>
  </r>
  <r>
    <s v="COD-324"/>
    <x v="6"/>
    <n v="10"/>
    <x v="2"/>
    <n v="600"/>
    <s v="PROFESOR-001"/>
    <n v="120"/>
    <d v="2020-12-20T00:00:00"/>
    <x v="2"/>
    <s v="COMERCIAL-004"/>
    <n v="72"/>
    <s v="SI"/>
    <x v="0"/>
    <s v="VALENCIA"/>
    <s v="SI"/>
    <n v="192"/>
    <n v="408"/>
    <n v="0.68"/>
  </r>
  <r>
    <s v="COD-325"/>
    <x v="6"/>
    <n v="45"/>
    <x v="3"/>
    <n v="2700"/>
    <s v="PROFESOR-004"/>
    <n v="540"/>
    <d v="2021-07-03T00:00:00"/>
    <x v="2"/>
    <s v="COMERCIAL-001"/>
    <n v="324"/>
    <s v="SI"/>
    <x v="1"/>
    <s v="ROMA"/>
    <s v="NO"/>
    <n v="864"/>
    <n v="1836"/>
    <n v="0.68"/>
  </r>
  <r>
    <s v="COD-326"/>
    <x v="6"/>
    <n v="25"/>
    <x v="4"/>
    <n v="1500"/>
    <s v="PROFESOR-005"/>
    <n v="300"/>
    <d v="2020-11-07T00:00:00"/>
    <x v="1"/>
    <s v="COMERCIAL-002"/>
    <n v="180"/>
    <s v="SI"/>
    <x v="2"/>
    <s v="MARSELLA"/>
    <s v="SI"/>
    <n v="480"/>
    <n v="1020"/>
    <n v="0.68"/>
  </r>
  <r>
    <s v="COD-327"/>
    <x v="2"/>
    <n v="20"/>
    <x v="3"/>
    <n v="800"/>
    <s v="PROFESOR-002"/>
    <n v="240"/>
    <d v="2020-04-12T00:00:00"/>
    <x v="1"/>
    <s v="COMERCIAL-004"/>
    <n v="80"/>
    <s v="SI"/>
    <x v="1"/>
    <s v="ROMA"/>
    <s v="SI"/>
    <n v="320"/>
    <n v="480"/>
    <n v="0.6"/>
  </r>
  <r>
    <s v="COD-328"/>
    <x v="2"/>
    <n v="10"/>
    <x v="2"/>
    <n v="400"/>
    <s v="PROFESOR-001"/>
    <n v="120"/>
    <d v="2020-02-16T00:00:00"/>
    <x v="1"/>
    <s v="COMERCIAL-001"/>
    <n v="40"/>
    <s v="SI"/>
    <x v="0"/>
    <s v="VALENCIA"/>
    <s v="NO"/>
    <n v="160"/>
    <n v="240"/>
    <n v="0.6"/>
  </r>
  <r>
    <s v="COD-329"/>
    <x v="2"/>
    <n v="12"/>
    <x v="3"/>
    <n v="480"/>
    <s v="PROFESOR-003"/>
    <n v="144"/>
    <d v="2020-05-20T00:00:00"/>
    <x v="1"/>
    <s v="COMERCIAL-003"/>
    <n v="48"/>
    <s v="SI"/>
    <x v="1"/>
    <s v="ROMA"/>
    <s v="NO"/>
    <n v="192"/>
    <n v="288"/>
    <n v="0.6"/>
  </r>
  <r>
    <s v="COD-330"/>
    <x v="2"/>
    <n v="15"/>
    <x v="5"/>
    <n v="600"/>
    <s v="PROFESOR-002"/>
    <n v="180"/>
    <d v="2019-08-27T00:00:00"/>
    <x v="2"/>
    <s v="COMERCIAL-002"/>
    <n v="60"/>
    <s v="SI"/>
    <x v="2"/>
    <s v="MARSELLA"/>
    <s v="SI"/>
    <n v="240"/>
    <n v="360"/>
    <n v="0.6"/>
  </r>
  <r>
    <s v="COD-331"/>
    <x v="1"/>
    <n v="20"/>
    <x v="0"/>
    <n v="600"/>
    <s v="PROFESOR-001"/>
    <n v="240"/>
    <d v="2019-01-22T00:00:00"/>
    <x v="2"/>
    <s v="COMERCIAL-004"/>
    <n v="48"/>
    <s v="SI"/>
    <x v="0"/>
    <s v="VALENCIA"/>
    <s v="SI"/>
    <n v="288"/>
    <n v="312"/>
    <n v="0.52"/>
  </r>
  <r>
    <s v="COD-332"/>
    <x v="1"/>
    <n v="25"/>
    <x v="1"/>
    <n v="750"/>
    <s v="PROFESOR-004"/>
    <n v="300"/>
    <d v="2019-10-02T00:00:00"/>
    <x v="2"/>
    <s v="COMERCIAL-003"/>
    <n v="60"/>
    <s v="SI"/>
    <x v="1"/>
    <s v="ROMA"/>
    <s v="NO"/>
    <n v="360"/>
    <n v="390"/>
    <n v="0.52"/>
  </r>
  <r>
    <s v="COD-333"/>
    <x v="1"/>
    <n v="30"/>
    <x v="2"/>
    <n v="900"/>
    <s v="PROFESOR-005"/>
    <n v="360"/>
    <d v="2020-03-31T00:00:00"/>
    <x v="2"/>
    <s v="COMERCIAL-002"/>
    <n v="72"/>
    <s v="SI"/>
    <x v="0"/>
    <s v="VALLADOLID"/>
    <s v="SI"/>
    <n v="432"/>
    <n v="468"/>
    <n v="0.52"/>
  </r>
  <r>
    <s v="COD-334"/>
    <x v="0"/>
    <n v="40"/>
    <x v="3"/>
    <n v="1000"/>
    <s v="PROFESOR-002"/>
    <n v="480"/>
    <d v="2019-04-24T00:00:00"/>
    <x v="2"/>
    <s v="COMERCIAL-004"/>
    <n v="70"/>
    <s v="SI"/>
    <x v="1"/>
    <s v="ROMA"/>
    <s v="SI"/>
    <n v="550"/>
    <n v="450"/>
    <n v="0.45"/>
  </r>
  <r>
    <s v="COD-335"/>
    <x v="0"/>
    <n v="35"/>
    <x v="4"/>
    <n v="875"/>
    <s v="PROFESOR-001"/>
    <n v="420"/>
    <d v="2021-07-27T00:00:00"/>
    <x v="1"/>
    <s v="COMERCIAL-001"/>
    <n v="61.25"/>
    <s v="SI"/>
    <x v="2"/>
    <s v="MARSELLA"/>
    <s v="NO"/>
    <n v="481.25"/>
    <n v="393.75"/>
    <n v="0.45"/>
  </r>
  <r>
    <s v="COD-336"/>
    <x v="0"/>
    <n v="12"/>
    <x v="3"/>
    <n v="300"/>
    <s v="PROFESOR-004"/>
    <n v="144"/>
    <d v="2021-04-11T00:00:00"/>
    <x v="0"/>
    <s v="COMERCIAL-003"/>
    <n v="21"/>
    <s v="NO"/>
    <x v="1"/>
    <s v="ROMA"/>
    <s v="SI"/>
    <n v="165"/>
    <n v="135"/>
    <n v="0.45"/>
  </r>
  <r>
    <s v="COD-337"/>
    <x v="0"/>
    <n v="15"/>
    <x v="2"/>
    <n v="375"/>
    <s v="PROFESOR-003"/>
    <n v="180"/>
    <d v="2020-12-11T00:00:00"/>
    <x v="1"/>
    <s v="COMERCIAL-002"/>
    <n v="26.25"/>
    <s v="NO"/>
    <x v="0"/>
    <s v="VALLADOLID"/>
    <s v="SI"/>
    <n v="206.25"/>
    <n v="168.75"/>
    <n v="0.45"/>
  </r>
  <r>
    <s v="COD-338"/>
    <x v="1"/>
    <n v="25"/>
    <x v="3"/>
    <n v="750"/>
    <s v="PROFESOR-002"/>
    <n v="300"/>
    <d v="2020-07-24T00:00:00"/>
    <x v="0"/>
    <s v="COMERCIAL-004"/>
    <n v="60"/>
    <s v="NO"/>
    <x v="1"/>
    <s v="ROMA"/>
    <s v="SI"/>
    <n v="360"/>
    <n v="390"/>
    <n v="0.52"/>
  </r>
  <r>
    <s v="COD-339"/>
    <x v="2"/>
    <n v="15"/>
    <x v="5"/>
    <n v="600"/>
    <s v="PROFESOR-001"/>
    <n v="180"/>
    <d v="2019-07-11T00:00:00"/>
    <x v="0"/>
    <s v="COMERCIAL-001"/>
    <n v="60"/>
    <s v="NO"/>
    <x v="2"/>
    <s v="MARSELLA"/>
    <s v="SI"/>
    <n v="240"/>
    <n v="360"/>
    <n v="0.6"/>
  </r>
  <r>
    <s v="COD-340"/>
    <x v="0"/>
    <n v="20"/>
    <x v="2"/>
    <n v="500"/>
    <s v="PROFESOR-004"/>
    <n v="240"/>
    <d v="2020-05-18T00:00:00"/>
    <x v="0"/>
    <s v="COMERCIAL-002"/>
    <n v="35"/>
    <s v="NO"/>
    <x v="0"/>
    <s v="VALLADOLID"/>
    <s v="SI"/>
    <n v="275"/>
    <n v="225"/>
    <n v="0.45"/>
  </r>
  <r>
    <s v="COD-341"/>
    <x v="0"/>
    <n v="20"/>
    <x v="6"/>
    <n v="500"/>
    <s v="PROFESOR-005"/>
    <n v="240"/>
    <d v="2021-10-03T00:00:00"/>
    <x v="0"/>
    <s v="COMERCIAL-004"/>
    <n v="35"/>
    <s v="SI"/>
    <x v="0"/>
    <s v="VALLADOLID"/>
    <s v="SI"/>
    <n v="275"/>
    <n v="225"/>
    <n v="0.45"/>
  </r>
  <r>
    <s v="COD-342"/>
    <x v="0"/>
    <n v="30"/>
    <x v="4"/>
    <n v="750"/>
    <s v="PROFESOR-002"/>
    <n v="360"/>
    <d v="2019-08-21T00:00:00"/>
    <x v="1"/>
    <s v="COMERCIAL-001"/>
    <n v="52.5"/>
    <s v="SI"/>
    <x v="2"/>
    <s v="MARSELLA"/>
    <s v="SI"/>
    <n v="412.5"/>
    <n v="337.5"/>
    <n v="0.45"/>
  </r>
  <r>
    <s v="COD-343"/>
    <x v="1"/>
    <n v="35"/>
    <x v="5"/>
    <n v="1050"/>
    <s v="PROFESOR-001"/>
    <n v="420"/>
    <d v="2020-03-24T00:00:00"/>
    <x v="1"/>
    <s v="COMERCIAL-003"/>
    <n v="84"/>
    <s v="SI"/>
    <x v="2"/>
    <s v="MARSELLA"/>
    <s v="SI"/>
    <n v="504"/>
    <n v="546"/>
    <n v="0.52"/>
  </r>
  <r>
    <s v="COD-344"/>
    <x v="1"/>
    <n v="40"/>
    <x v="0"/>
    <n v="1200"/>
    <s v="PROFESOR-004"/>
    <n v="480"/>
    <d v="2020-05-04T00:00:00"/>
    <x v="1"/>
    <s v="COMERCIAL-002"/>
    <n v="96"/>
    <s v="SI"/>
    <x v="0"/>
    <s v="VALENCIA"/>
    <s v="SI"/>
    <n v="576"/>
    <n v="624"/>
    <n v="0.52"/>
  </r>
  <r>
    <s v="COD-345"/>
    <x v="1"/>
    <n v="40"/>
    <x v="1"/>
    <n v="1200"/>
    <s v="PROFESOR-005"/>
    <n v="480"/>
    <d v="2020-02-01T00:00:00"/>
    <x v="1"/>
    <s v="COMERCIAL-004"/>
    <n v="96"/>
    <s v="NO"/>
    <x v="1"/>
    <s v="ROMA"/>
    <s v="SI"/>
    <n v="576"/>
    <n v="624"/>
    <n v="0.52"/>
  </r>
  <r>
    <s v="COD-346"/>
    <x v="3"/>
    <n v="35"/>
    <x v="2"/>
    <n v="875"/>
    <s v="PROFESOR-002"/>
    <n v="420"/>
    <d v="2019-10-11T00:00:00"/>
    <x v="2"/>
    <s v="COMERCIAL-003"/>
    <n v="43.75"/>
    <s v="NO"/>
    <x v="0"/>
    <s v="VALENCIA"/>
    <s v="SI"/>
    <n v="463.75"/>
    <n v="411.25"/>
    <n v="0.47"/>
  </r>
  <r>
    <s v="COD-347"/>
    <x v="4"/>
    <n v="45"/>
    <x v="3"/>
    <n v="1125"/>
    <s v="PROFESOR-001"/>
    <n v="540"/>
    <d v="2021-12-10T00:00:00"/>
    <x v="2"/>
    <s v="COMERCIAL-002"/>
    <n v="56.25"/>
    <s v="NO"/>
    <x v="1"/>
    <s v="ROMA"/>
    <s v="SI"/>
    <n v="596.25"/>
    <n v="528.75"/>
    <n v="0.47"/>
  </r>
  <r>
    <s v="COD-348"/>
    <x v="4"/>
    <n v="25"/>
    <x v="4"/>
    <n v="625"/>
    <s v="PROFESOR-004"/>
    <n v="300"/>
    <d v="2021-07-06T00:00:00"/>
    <x v="2"/>
    <s v="COMERCIAL-004"/>
    <n v="31.25"/>
    <s v="NO"/>
    <x v="2"/>
    <s v="MARSELLA"/>
    <s v="SI"/>
    <n v="331.25"/>
    <n v="293.75"/>
    <n v="0.47"/>
  </r>
  <r>
    <s v="COD-349"/>
    <x v="4"/>
    <n v="20"/>
    <x v="3"/>
    <n v="500"/>
    <s v="PROFESOR-003"/>
    <n v="240"/>
    <d v="2020-09-14T00:00:00"/>
    <x v="1"/>
    <s v="COMERCIAL-001"/>
    <n v="25"/>
    <s v="NO"/>
    <x v="1"/>
    <s v="ROMA"/>
    <s v="SI"/>
    <n v="265"/>
    <n v="235"/>
    <n v="0.47"/>
  </r>
  <r>
    <s v="COD-350"/>
    <x v="3"/>
    <n v="10"/>
    <x v="2"/>
    <n v="250"/>
    <s v="PROFESOR-002"/>
    <n v="120"/>
    <d v="2019-04-16T00:00:00"/>
    <x v="1"/>
    <s v="COMERCIAL-002"/>
    <n v="12.5"/>
    <s v="SI"/>
    <x v="0"/>
    <s v="VALENCIA"/>
    <s v="SI"/>
    <n v="132.5"/>
    <n v="117.5"/>
    <n v="0.47"/>
  </r>
  <r>
    <s v="COD-351"/>
    <x v="5"/>
    <n v="12"/>
    <x v="3"/>
    <n v="900"/>
    <s v="PROFESOR-004"/>
    <n v="144"/>
    <d v="2021-01-16T00:00:00"/>
    <x v="1"/>
    <s v="COMERCIAL-004"/>
    <n v="135"/>
    <s v="NO"/>
    <x v="1"/>
    <s v="ROMA"/>
    <s v="SI"/>
    <n v="279"/>
    <n v="621"/>
    <n v="0.69"/>
  </r>
  <r>
    <s v="COD-352"/>
    <x v="6"/>
    <n v="15"/>
    <x v="5"/>
    <n v="900"/>
    <s v="PROFESOR-003"/>
    <n v="180"/>
    <d v="2019-05-02T00:00:00"/>
    <x v="1"/>
    <s v="COMERCIAL-001"/>
    <n v="108"/>
    <s v="SI"/>
    <x v="2"/>
    <s v="MARSELLA"/>
    <s v="SI"/>
    <n v="288"/>
    <n v="612"/>
    <n v="0.68"/>
  </r>
  <r>
    <s v="COD-353"/>
    <x v="6"/>
    <n v="20"/>
    <x v="2"/>
    <n v="1200"/>
    <s v="PROFESOR-002"/>
    <n v="240"/>
    <d v="2019-10-15T00:00:00"/>
    <x v="2"/>
    <s v="COMERCIAL-003"/>
    <n v="144"/>
    <s v="SI"/>
    <x v="0"/>
    <s v="VALENCIA"/>
    <s v="NO"/>
    <n v="384"/>
    <n v="816"/>
    <n v="0.68"/>
  </r>
  <r>
    <s v="COD-354"/>
    <x v="6"/>
    <n v="25"/>
    <x v="6"/>
    <n v="1500"/>
    <s v="PROFESOR-001"/>
    <n v="300"/>
    <d v="2019-06-15T00:00:00"/>
    <x v="2"/>
    <s v="COMERCIAL-002"/>
    <n v="180"/>
    <s v="SI"/>
    <x v="0"/>
    <s v="VALENCIA"/>
    <s v="SI"/>
    <n v="480"/>
    <n v="1020"/>
    <n v="0.68"/>
  </r>
  <r>
    <s v="COD-355"/>
    <x v="2"/>
    <n v="30"/>
    <x v="4"/>
    <n v="1200"/>
    <s v="PROFESOR-004"/>
    <n v="360"/>
    <d v="2019-04-23T00:00:00"/>
    <x v="2"/>
    <s v="COMERCIAL-004"/>
    <n v="120"/>
    <s v="SI"/>
    <x v="2"/>
    <s v="MARSELLA"/>
    <s v="SI"/>
    <n v="480"/>
    <n v="720"/>
    <n v="0.6"/>
  </r>
  <r>
    <s v="COD-356"/>
    <x v="2"/>
    <n v="40"/>
    <x v="5"/>
    <n v="1600"/>
    <s v="PROFESOR-005"/>
    <n v="480"/>
    <d v="2019-06-05T00:00:00"/>
    <x v="2"/>
    <s v="COMERCIAL-003"/>
    <n v="160"/>
    <s v="SI"/>
    <x v="2"/>
    <s v="MARSELLA"/>
    <s v="NO"/>
    <n v="640"/>
    <n v="960"/>
    <n v="0.6"/>
  </r>
  <r>
    <s v="COD-357"/>
    <x v="2"/>
    <n v="35"/>
    <x v="7"/>
    <n v="1400"/>
    <s v="PROFESOR-002"/>
    <n v="420"/>
    <d v="2019-12-11T00:00:00"/>
    <x v="2"/>
    <s v="COMERCIAL-002"/>
    <n v="140"/>
    <s v="SI"/>
    <x v="0"/>
    <s v="VALENCIA"/>
    <s v="SI"/>
    <n v="560"/>
    <n v="840"/>
    <n v="0.6"/>
  </r>
  <r>
    <s v="COD-358"/>
    <x v="2"/>
    <n v="45"/>
    <x v="3"/>
    <n v="1800"/>
    <s v="PROFESOR-001"/>
    <n v="540"/>
    <d v="2019-05-15T00:00:00"/>
    <x v="1"/>
    <s v="COMERCIAL-004"/>
    <n v="180"/>
    <s v="SI"/>
    <x v="1"/>
    <s v="MILAN"/>
    <s v="SI"/>
    <n v="720"/>
    <n v="1080"/>
    <n v="0.6"/>
  </r>
  <r>
    <s v="COD-359"/>
    <x v="1"/>
    <n v="18"/>
    <x v="4"/>
    <n v="540"/>
    <s v="PROFESOR-004"/>
    <n v="216"/>
    <d v="2019-09-05T00:00:00"/>
    <x v="2"/>
    <s v="COMERCIAL-001"/>
    <n v="43.2"/>
    <s v="SI"/>
    <x v="2"/>
    <s v="MARSELLA"/>
    <s v="NO"/>
    <n v="259.2"/>
    <n v="280.8"/>
    <n v="0.52"/>
  </r>
  <r>
    <s v="COD-360"/>
    <x v="1"/>
    <n v="10"/>
    <x v="5"/>
    <n v="300"/>
    <s v="PROFESOR-005"/>
    <n v="120"/>
    <d v="2020-06-03T00:00:00"/>
    <x v="2"/>
    <s v="COMERCIAL-003"/>
    <n v="24"/>
    <s v="SI"/>
    <x v="2"/>
    <s v="MARSELLA"/>
    <s v="NO"/>
    <n v="144"/>
    <n v="156"/>
    <n v="0.52"/>
  </r>
  <r>
    <s v="COD-361"/>
    <x v="1"/>
    <n v="45"/>
    <x v="2"/>
    <n v="1350"/>
    <s v="PROFESOR-002"/>
    <n v="540"/>
    <d v="2021-07-13T00:00:00"/>
    <x v="2"/>
    <s v="COMERCIAL-002"/>
    <n v="108"/>
    <s v="SI"/>
    <x v="0"/>
    <s v="VALENCIA"/>
    <s v="SI"/>
    <n v="648"/>
    <n v="702"/>
    <n v="0.52"/>
  </r>
  <r>
    <s v="COD-362"/>
    <x v="0"/>
    <n v="25"/>
    <x v="6"/>
    <n v="625"/>
    <s v="PROFESOR-001"/>
    <n v="300"/>
    <d v="2021-04-01T00:00:00"/>
    <x v="1"/>
    <s v="COMERCIAL-004"/>
    <n v="43.75"/>
    <s v="SI"/>
    <x v="0"/>
    <s v="VALENCIA"/>
    <s v="SI"/>
    <n v="343.75"/>
    <n v="281.25"/>
    <n v="0.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2EDF17-7EDF-4561-8BE4-67B73254F059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8" firstHeaderRow="1" firstDataRow="2" firstDataCol="1" rowPageCount="1" colPageCount="1"/>
  <pivotFields count="18">
    <pivotField showAll="0"/>
    <pivotField axis="axisRow" showAll="0" sortType="descending">
      <items count="8">
        <item x="2"/>
        <item h="1" x="6"/>
        <item x="1"/>
        <item h="1" x="3"/>
        <item h="1" x="5"/>
        <item h="1"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numFmtId="164" showAll="0"/>
    <pivotField showAll="0"/>
    <pivotField numFmtId="164" showAll="0"/>
    <pivotField numFmtId="14" showAll="0"/>
    <pivotField axis="axisCol" showAll="0" sortType="descending">
      <items count="4">
        <item x="0"/>
        <item h="1"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showAll="0"/>
    <pivotField axis="axisPage" showAll="0">
      <items count="4">
        <item x="0"/>
        <item x="2"/>
        <item x="1"/>
        <item t="default"/>
      </items>
    </pivotField>
    <pivotField showAll="0"/>
    <pivotField showAll="0"/>
    <pivotField numFmtId="164" showAll="0"/>
    <pivotField numFmtId="164" showAll="0"/>
    <pivotField numFmtId="9" showAll="0"/>
  </pivotFields>
  <rowFields count="1">
    <field x="1"/>
  </rowFields>
  <rowItems count="4">
    <i>
      <x v="2"/>
    </i>
    <i>
      <x v="6"/>
    </i>
    <i>
      <x/>
    </i>
    <i t="grand">
      <x/>
    </i>
  </rowItems>
  <colFields count="1">
    <field x="8"/>
  </colFields>
  <colItems count="3">
    <i>
      <x v="2"/>
    </i>
    <i>
      <x/>
    </i>
    <i t="grand">
      <x/>
    </i>
  </colItems>
  <pageFields count="1">
    <pageField fld="12" item="0" hier="-1"/>
  </pageFields>
  <dataFields count="1">
    <dataField name="Suma de DURACION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35801D-260C-4E3B-B9FA-2DC0CB1F7607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3:I6" firstHeaderRow="1" firstDataRow="1" firstDataCol="1" rowPageCount="1" colPageCount="1"/>
  <pivotFields count="18">
    <pivotField showAll="0"/>
    <pivotField showAll="0"/>
    <pivotField showAll="0"/>
    <pivotField axis="axisRow" showAll="0" measureFilter="1" sortType="ascending">
      <items count="9">
        <item x="0"/>
        <item x="1"/>
        <item x="3"/>
        <item x="2"/>
        <item x="4"/>
        <item x="5"/>
        <item x="6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7"/>
    </i>
    <i t="grand">
      <x/>
    </i>
  </rowItems>
  <colItems count="1">
    <i/>
  </colItems>
  <pageFields count="1">
    <pageField fld="12" item="0" hier="-1"/>
  </pageFields>
  <dataFields count="1">
    <dataField name="TOTAL CLIENTE" fld="4" baseField="0" baseItem="0" numFmtId="165"/>
  </dataFields>
  <pivotTableStyleInfo name="PivotStyleLight16" showRowHeaders="1" showColHeaders="1" showRowStripes="0" showColStripes="0" showLastColumn="1"/>
  <filters count="1">
    <filter fld="3" type="count" evalOrder="-1" id="2" iMeasureFld="0">
      <autoFilter ref="A1">
        <filterColumn colId="0">
          <top10 top="0"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46D339-D7F2-4B3D-9A43-86A115DFD744}" name="T_CURSOS" displayName="T_CURSOS" ref="A1:R363" headerRowDxfId="37" dataDxfId="36">
  <autoFilter ref="A1:R363" xr:uid="{6E46D339-D7F2-4B3D-9A43-86A115DFD744}"/>
  <tableColumns count="18">
    <tableColumn id="1" xr3:uid="{48C66FD4-68CD-480F-B7CF-2A9572188555}" name="COD CURSO" totalsRowLabel="Total" dataDxfId="35" totalsRowDxfId="34"/>
    <tableColumn id="2" xr3:uid="{3004E594-B15E-48D2-A6AA-C530ED797AF4}" name="CURSO" totalsRowFunction="count" dataDxfId="33" totalsRowDxfId="32"/>
    <tableColumn id="3" xr3:uid="{6BF9874F-3225-4675-AF95-E56FC8C9B56F}" name="DURACION" totalsRowFunction="sum" dataDxfId="31" totalsRowDxfId="30"/>
    <tableColumn id="4" xr3:uid="{086A866B-C1A9-43D0-9CD8-3A79D28EE9FD}" name="CLIENTE" dataDxfId="29" totalsRowDxfId="28"/>
    <tableColumn id="5" xr3:uid="{4588E39E-4813-49B4-B6D4-27C5C3CB8557}" name="IMPORTE CLIENTE" totalsRowFunction="sum" dataDxfId="27" totalsRowDxfId="26" dataCellStyle="Euro"/>
    <tableColumn id="6" xr3:uid="{60362914-0077-40E7-84D1-37ABDE1BD5F3}" name="PROFESOR" dataDxfId="25" totalsRowDxfId="24"/>
    <tableColumn id="7" xr3:uid="{9694A7B6-4456-4B81-8198-E62A8CA24600}" name="IMPORTE PROFESOR" totalsRowFunction="average" dataDxfId="23" totalsRowDxfId="22" dataCellStyle="Euro"/>
    <tableColumn id="8" xr3:uid="{1C327C9A-9253-4795-9818-1296BE543582}" name="FECHA CURSO" totalsRowFunction="min" dataDxfId="21" totalsRowDxfId="20"/>
    <tableColumn id="9" xr3:uid="{968B192C-97AA-4274-99B2-A63636F4BDB1}" name="JORNADA CURSO" dataDxfId="19" totalsRowDxfId="18"/>
    <tableColumn id="10" xr3:uid="{809856B5-644D-47DF-9E40-FD1DF8088A38}" name="COMERCIAL" dataDxfId="17" totalsRowDxfId="16"/>
    <tableColumn id="11" xr3:uid="{6C3F9289-8BD6-4145-95A0-F2722B63D098}" name="IMPORTE COMERCIAL" totalsRowFunction="sum" dataDxfId="15" totalsRowDxfId="14" dataCellStyle="Euro"/>
    <tableColumn id="12" xr3:uid="{C4FFB478-0CBF-4E30-9A2C-86DE70ABF615}" name="PAGADO CLIENTE" dataDxfId="13" totalsRowDxfId="12"/>
    <tableColumn id="13" xr3:uid="{9057961E-0E54-444D-9D7B-7F93671D93DB}" name="PAIS" dataDxfId="11" totalsRowDxfId="10"/>
    <tableColumn id="14" xr3:uid="{5033018A-5016-46AD-8358-BAA6E2EC883F}" name="CIUDAD" dataDxfId="9" totalsRowDxfId="8"/>
    <tableColumn id="15" xr3:uid="{FC299563-DCF4-4EB4-A9D0-C171AC525DD9}" name="PAGADO COMERCIAL" dataDxfId="7" totalsRowDxfId="6"/>
    <tableColumn id="16" xr3:uid="{4598094E-BE52-4D7D-8B6F-8FE099ED7736}" name="GASTO" dataDxfId="5" totalsRowDxfId="4">
      <calculatedColumnFormula>T_CURSOS[[#This Row],[IMPORTE PROFESOR]]+T_CURSOS[[#This Row],[IMPORTE COMERCIAL]]</calculatedColumnFormula>
    </tableColumn>
    <tableColumn id="17" xr3:uid="{C97F53C8-3DF5-4D9A-A2D1-4D9C9A0C6E06}" name="BENEFICIO" dataDxfId="3" totalsRowDxfId="2">
      <calculatedColumnFormula>T_CURSOS[[#This Row],[IMPORTE CLIENTE]]-T_CURSOS[[#This Row],[GASTO]]</calculatedColumnFormula>
    </tableColumn>
    <tableColumn id="18" xr3:uid="{475865E1-95A5-4FDC-82FE-898B8A93BEBA}" name="%BENEFICIO" dataDxfId="1" totalsRowDxfId="0" dataCellStyle="Porcentaje">
      <calculatedColumnFormula>T_CURSOS[[#This Row],[BENEFICIO]]/T_CURSOS[[#This Row],[IMPORTE CLIENTE]]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80CF34E-D5AA-485F-A648-F28674E478FA}">
  <we:reference id="wa200007447" version="1.0.0.0" store="es-ES" storeType="OMEX"/>
  <we:alternateReferences>
    <we:reference id="wa200007447" version="1.0.0.0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1D6BF-B8F5-4883-9245-A0FE5D5600C1}">
  <dimension ref="A1:I8"/>
  <sheetViews>
    <sheetView tabSelected="1" workbookViewId="0">
      <selection activeCell="B26" sqref="B26"/>
    </sheetView>
  </sheetViews>
  <sheetFormatPr baseColWidth="10" defaultRowHeight="12.75" x14ac:dyDescent="0.2"/>
  <cols>
    <col min="1" max="1" width="19.5703125" bestFit="1" customWidth="1"/>
    <col min="2" max="2" width="23" bestFit="1" customWidth="1"/>
    <col min="3" max="3" width="9" bestFit="1" customWidth="1"/>
    <col min="4" max="5" width="13.140625" bestFit="1" customWidth="1"/>
    <col min="8" max="8" width="17.85546875" bestFit="1" customWidth="1"/>
    <col min="9" max="9" width="15.42578125" bestFit="1" customWidth="1"/>
    <col min="10" max="10" width="30.42578125" bestFit="1" customWidth="1"/>
  </cols>
  <sheetData>
    <row r="1" spans="1:9" x14ac:dyDescent="0.2">
      <c r="A1" s="9" t="s">
        <v>12</v>
      </c>
      <c r="B1" t="s">
        <v>22</v>
      </c>
      <c r="H1" s="9" t="s">
        <v>12</v>
      </c>
      <c r="I1" t="s">
        <v>22</v>
      </c>
    </row>
    <row r="3" spans="1:9" x14ac:dyDescent="0.2">
      <c r="A3" s="9" t="s">
        <v>426</v>
      </c>
      <c r="B3" s="9" t="s">
        <v>425</v>
      </c>
      <c r="H3" s="9" t="s">
        <v>423</v>
      </c>
      <c r="I3" t="s">
        <v>427</v>
      </c>
    </row>
    <row r="4" spans="1:9" x14ac:dyDescent="0.2">
      <c r="A4" s="9" t="s">
        <v>423</v>
      </c>
      <c r="B4" t="s">
        <v>28</v>
      </c>
      <c r="C4" t="s">
        <v>19</v>
      </c>
      <c r="D4" t="s">
        <v>424</v>
      </c>
      <c r="H4" s="10" t="s">
        <v>17</v>
      </c>
      <c r="I4" s="11">
        <v>5025</v>
      </c>
    </row>
    <row r="5" spans="1:9" x14ac:dyDescent="0.2">
      <c r="A5" s="10" t="s">
        <v>25</v>
      </c>
      <c r="B5">
        <v>511</v>
      </c>
      <c r="C5">
        <v>122</v>
      </c>
      <c r="D5">
        <v>633</v>
      </c>
      <c r="H5" s="10" t="s">
        <v>61</v>
      </c>
      <c r="I5" s="11">
        <v>26785</v>
      </c>
    </row>
    <row r="6" spans="1:9" x14ac:dyDescent="0.2">
      <c r="A6" s="10" t="s">
        <v>16</v>
      </c>
      <c r="B6">
        <v>264</v>
      </c>
      <c r="C6">
        <v>112</v>
      </c>
      <c r="D6">
        <v>376</v>
      </c>
      <c r="H6" s="10" t="s">
        <v>424</v>
      </c>
      <c r="I6" s="11">
        <v>31810</v>
      </c>
    </row>
    <row r="7" spans="1:9" x14ac:dyDescent="0.2">
      <c r="A7" s="10" t="s">
        <v>33</v>
      </c>
      <c r="B7">
        <v>205</v>
      </c>
      <c r="C7">
        <v>166</v>
      </c>
      <c r="D7">
        <v>371</v>
      </c>
    </row>
    <row r="8" spans="1:9" x14ac:dyDescent="0.2">
      <c r="A8" s="10" t="s">
        <v>424</v>
      </c>
      <c r="B8">
        <v>980</v>
      </c>
      <c r="C8">
        <v>400</v>
      </c>
      <c r="D8">
        <v>1380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BBB6-E8A5-414B-937D-E300A059AB14}">
  <dimension ref="A1:R364"/>
  <sheetViews>
    <sheetView topLeftCell="A341" workbookViewId="0">
      <selection activeCell="A365" sqref="A365"/>
    </sheetView>
  </sheetViews>
  <sheetFormatPr baseColWidth="10" defaultColWidth="11.42578125" defaultRowHeight="12.75" x14ac:dyDescent="0.2"/>
  <cols>
    <col min="1" max="1" width="14.28515625" style="2" customWidth="1"/>
    <col min="2" max="2" width="18" style="3" customWidth="1"/>
    <col min="3" max="3" width="13.42578125" style="3" bestFit="1" customWidth="1"/>
    <col min="4" max="4" width="14.5703125" style="3" customWidth="1"/>
    <col min="5" max="5" width="20.5703125" style="3" bestFit="1" customWidth="1"/>
    <col min="6" max="6" width="17.85546875" style="3" customWidth="1"/>
    <col min="7" max="7" width="23.140625" style="3" bestFit="1" customWidth="1"/>
    <col min="8" max="8" width="17.140625" style="3" bestFit="1" customWidth="1"/>
    <col min="9" max="9" width="20.140625" style="3" bestFit="1" customWidth="1"/>
    <col min="10" max="10" width="18.85546875" style="3" customWidth="1"/>
    <col min="11" max="11" width="24.140625" style="3" bestFit="1" customWidth="1"/>
    <col min="12" max="12" width="19.140625" style="3" customWidth="1"/>
    <col min="13" max="13" width="11.42578125" style="2"/>
    <col min="14" max="14" width="12.5703125" style="2" bestFit="1" customWidth="1"/>
    <col min="15" max="15" width="22.28515625" style="2" customWidth="1"/>
    <col min="16" max="17" width="11.42578125" style="2"/>
    <col min="18" max="18" width="12.5703125" style="2" customWidth="1"/>
    <col min="19" max="16384" width="11.42578125" style="2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416</v>
      </c>
      <c r="Q1" s="1" t="s">
        <v>417</v>
      </c>
      <c r="R1" s="1" t="s">
        <v>418</v>
      </c>
    </row>
    <row r="2" spans="1:18" x14ac:dyDescent="0.2">
      <c r="A2" s="2" t="s">
        <v>15</v>
      </c>
      <c r="B2" s="3" t="s">
        <v>16</v>
      </c>
      <c r="C2" s="3">
        <v>15</v>
      </c>
      <c r="D2" s="3" t="s">
        <v>17</v>
      </c>
      <c r="E2" s="4">
        <v>375</v>
      </c>
      <c r="F2" s="3" t="s">
        <v>18</v>
      </c>
      <c r="G2" s="4">
        <v>180</v>
      </c>
      <c r="H2" s="5">
        <v>44442</v>
      </c>
      <c r="I2" s="5" t="s">
        <v>19</v>
      </c>
      <c r="J2" s="3" t="s">
        <v>20</v>
      </c>
      <c r="K2" s="4">
        <v>26.25</v>
      </c>
      <c r="L2" s="3" t="s">
        <v>21</v>
      </c>
      <c r="M2" s="2" t="s">
        <v>22</v>
      </c>
      <c r="N2" s="2" t="s">
        <v>23</v>
      </c>
      <c r="O2" s="2" t="s">
        <v>21</v>
      </c>
      <c r="P2" s="6">
        <f>T_CURSOS[[#This Row],[IMPORTE PROFESOR]]+T_CURSOS[[#This Row],[IMPORTE COMERCIAL]]</f>
        <v>206.25</v>
      </c>
      <c r="Q2" s="6">
        <f>T_CURSOS[[#This Row],[IMPORTE CLIENTE]]-T_CURSOS[[#This Row],[GASTO]]</f>
        <v>168.75</v>
      </c>
      <c r="R2" s="7">
        <f>T_CURSOS[[#This Row],[BENEFICIO]]/T_CURSOS[[#This Row],[IMPORTE CLIENTE]]</f>
        <v>0.45</v>
      </c>
    </row>
    <row r="3" spans="1:18" x14ac:dyDescent="0.2">
      <c r="A3" s="2" t="s">
        <v>24</v>
      </c>
      <c r="B3" s="3" t="s">
        <v>25</v>
      </c>
      <c r="C3" s="3">
        <v>20</v>
      </c>
      <c r="D3" s="3" t="s">
        <v>26</v>
      </c>
      <c r="E3" s="4">
        <v>600</v>
      </c>
      <c r="F3" s="3" t="s">
        <v>27</v>
      </c>
      <c r="G3" s="4">
        <v>240</v>
      </c>
      <c r="H3" s="5">
        <v>44469</v>
      </c>
      <c r="I3" s="5" t="s">
        <v>28</v>
      </c>
      <c r="J3" s="3" t="s">
        <v>29</v>
      </c>
      <c r="K3" s="4">
        <v>48</v>
      </c>
      <c r="L3" s="3" t="s">
        <v>21</v>
      </c>
      <c r="M3" s="2" t="s">
        <v>30</v>
      </c>
      <c r="N3" s="2" t="s">
        <v>31</v>
      </c>
      <c r="O3" s="2" t="s">
        <v>21</v>
      </c>
      <c r="P3" s="6">
        <f>T_CURSOS[[#This Row],[IMPORTE PROFESOR]]+T_CURSOS[[#This Row],[IMPORTE COMERCIAL]]</f>
        <v>288</v>
      </c>
      <c r="Q3" s="6">
        <f>T_CURSOS[[#This Row],[IMPORTE CLIENTE]]-T_CURSOS[[#This Row],[GASTO]]</f>
        <v>312</v>
      </c>
      <c r="R3" s="7">
        <f>T_CURSOS[[#This Row],[BENEFICIO]]/T_CURSOS[[#This Row],[IMPORTE CLIENTE]]</f>
        <v>0.52</v>
      </c>
    </row>
    <row r="4" spans="1:18" x14ac:dyDescent="0.2">
      <c r="A4" s="2" t="s">
        <v>32</v>
      </c>
      <c r="B4" s="3" t="s">
        <v>33</v>
      </c>
      <c r="C4" s="3">
        <v>18</v>
      </c>
      <c r="D4" s="3" t="s">
        <v>34</v>
      </c>
      <c r="E4" s="4">
        <v>720</v>
      </c>
      <c r="F4" s="3" t="s">
        <v>35</v>
      </c>
      <c r="G4" s="4">
        <v>216</v>
      </c>
      <c r="H4" s="5">
        <v>43681</v>
      </c>
      <c r="I4" s="5" t="s">
        <v>19</v>
      </c>
      <c r="J4" s="3" t="s">
        <v>36</v>
      </c>
      <c r="K4" s="4">
        <v>72</v>
      </c>
      <c r="L4" s="3" t="s">
        <v>21</v>
      </c>
      <c r="M4" s="2" t="s">
        <v>22</v>
      </c>
      <c r="N4" s="2" t="s">
        <v>23</v>
      </c>
      <c r="O4" s="2" t="s">
        <v>21</v>
      </c>
      <c r="P4" s="6">
        <f>T_CURSOS[[#This Row],[IMPORTE PROFESOR]]+T_CURSOS[[#This Row],[IMPORTE COMERCIAL]]</f>
        <v>288</v>
      </c>
      <c r="Q4" s="6">
        <f>T_CURSOS[[#This Row],[IMPORTE CLIENTE]]-T_CURSOS[[#This Row],[GASTO]]</f>
        <v>432</v>
      </c>
      <c r="R4" s="7">
        <f>T_CURSOS[[#This Row],[BENEFICIO]]/T_CURSOS[[#This Row],[IMPORTE CLIENTE]]</f>
        <v>0.6</v>
      </c>
    </row>
    <row r="5" spans="1:18" x14ac:dyDescent="0.2">
      <c r="A5" s="2" t="s">
        <v>37</v>
      </c>
      <c r="B5" s="3" t="s">
        <v>16</v>
      </c>
      <c r="C5" s="3">
        <v>25</v>
      </c>
      <c r="D5" s="3" t="s">
        <v>38</v>
      </c>
      <c r="E5" s="4">
        <v>625</v>
      </c>
      <c r="F5" s="3" t="s">
        <v>39</v>
      </c>
      <c r="G5" s="4">
        <v>300</v>
      </c>
      <c r="H5" s="5">
        <v>43531</v>
      </c>
      <c r="I5" s="5" t="s">
        <v>19</v>
      </c>
      <c r="J5" s="3" t="s">
        <v>40</v>
      </c>
      <c r="K5" s="4">
        <v>43.75</v>
      </c>
      <c r="L5" s="3" t="s">
        <v>21</v>
      </c>
      <c r="M5" s="2" t="s">
        <v>30</v>
      </c>
      <c r="N5" s="2" t="s">
        <v>31</v>
      </c>
      <c r="O5" s="2" t="s">
        <v>41</v>
      </c>
      <c r="P5" s="6">
        <f>T_CURSOS[[#This Row],[IMPORTE PROFESOR]]+T_CURSOS[[#This Row],[IMPORTE COMERCIAL]]</f>
        <v>343.75</v>
      </c>
      <c r="Q5" s="6">
        <f>T_CURSOS[[#This Row],[IMPORTE CLIENTE]]-T_CURSOS[[#This Row],[GASTO]]</f>
        <v>281.25</v>
      </c>
      <c r="R5" s="7">
        <f>T_CURSOS[[#This Row],[BENEFICIO]]/T_CURSOS[[#This Row],[IMPORTE CLIENTE]]</f>
        <v>0.45</v>
      </c>
    </row>
    <row r="6" spans="1:18" x14ac:dyDescent="0.2">
      <c r="A6" s="2" t="s">
        <v>42</v>
      </c>
      <c r="B6" s="3" t="s">
        <v>16</v>
      </c>
      <c r="C6" s="3">
        <v>20</v>
      </c>
      <c r="D6" s="3" t="s">
        <v>43</v>
      </c>
      <c r="E6" s="4">
        <v>500</v>
      </c>
      <c r="F6" s="3" t="s">
        <v>44</v>
      </c>
      <c r="G6" s="4">
        <v>240</v>
      </c>
      <c r="H6" s="5">
        <v>44259</v>
      </c>
      <c r="I6" s="5" t="s">
        <v>19</v>
      </c>
      <c r="J6" s="3" t="s">
        <v>20</v>
      </c>
      <c r="K6" s="4">
        <v>35</v>
      </c>
      <c r="L6" s="3" t="s">
        <v>41</v>
      </c>
      <c r="M6" s="2" t="s">
        <v>45</v>
      </c>
      <c r="N6" s="2" t="s">
        <v>46</v>
      </c>
      <c r="O6" s="2" t="s">
        <v>41</v>
      </c>
      <c r="P6" s="6">
        <f>T_CURSOS[[#This Row],[IMPORTE PROFESOR]]+T_CURSOS[[#This Row],[IMPORTE COMERCIAL]]</f>
        <v>275</v>
      </c>
      <c r="Q6" s="6">
        <f>T_CURSOS[[#This Row],[IMPORTE CLIENTE]]-T_CURSOS[[#This Row],[GASTO]]</f>
        <v>225</v>
      </c>
      <c r="R6" s="7">
        <f>T_CURSOS[[#This Row],[BENEFICIO]]/T_CURSOS[[#This Row],[IMPORTE CLIENTE]]</f>
        <v>0.45</v>
      </c>
    </row>
    <row r="7" spans="1:18" x14ac:dyDescent="0.2">
      <c r="A7" s="2" t="s">
        <v>47</v>
      </c>
      <c r="B7" s="3" t="s">
        <v>16</v>
      </c>
      <c r="C7" s="3">
        <v>10</v>
      </c>
      <c r="D7" s="3" t="s">
        <v>38</v>
      </c>
      <c r="E7" s="4">
        <v>250</v>
      </c>
      <c r="F7" s="3" t="s">
        <v>27</v>
      </c>
      <c r="G7" s="4">
        <v>120</v>
      </c>
      <c r="H7" s="5">
        <v>43486</v>
      </c>
      <c r="I7" s="5" t="s">
        <v>19</v>
      </c>
      <c r="J7" s="3" t="s">
        <v>29</v>
      </c>
      <c r="K7" s="4">
        <v>17.5</v>
      </c>
      <c r="L7" s="3" t="s">
        <v>41</v>
      </c>
      <c r="M7" s="2" t="s">
        <v>30</v>
      </c>
      <c r="N7" s="2" t="s">
        <v>31</v>
      </c>
      <c r="O7" s="2" t="s">
        <v>21</v>
      </c>
      <c r="P7" s="6">
        <f>T_CURSOS[[#This Row],[IMPORTE PROFESOR]]+T_CURSOS[[#This Row],[IMPORTE COMERCIAL]]</f>
        <v>137.5</v>
      </c>
      <c r="Q7" s="6">
        <f>T_CURSOS[[#This Row],[IMPORTE CLIENTE]]-T_CURSOS[[#This Row],[GASTO]]</f>
        <v>112.5</v>
      </c>
      <c r="R7" s="7">
        <f>T_CURSOS[[#This Row],[BENEFICIO]]/T_CURSOS[[#This Row],[IMPORTE CLIENTE]]</f>
        <v>0.45</v>
      </c>
    </row>
    <row r="8" spans="1:18" x14ac:dyDescent="0.2">
      <c r="A8" s="2" t="s">
        <v>48</v>
      </c>
      <c r="B8" s="3" t="s">
        <v>25</v>
      </c>
      <c r="C8" s="3">
        <v>12</v>
      </c>
      <c r="D8" s="3" t="s">
        <v>34</v>
      </c>
      <c r="E8" s="4">
        <v>360</v>
      </c>
      <c r="F8" s="3" t="s">
        <v>35</v>
      </c>
      <c r="G8" s="4">
        <v>144</v>
      </c>
      <c r="H8" s="5">
        <v>44030</v>
      </c>
      <c r="I8" s="5" t="s">
        <v>28</v>
      </c>
      <c r="J8" s="3" t="s">
        <v>36</v>
      </c>
      <c r="K8" s="4">
        <v>28.8</v>
      </c>
      <c r="L8" s="3" t="s">
        <v>41</v>
      </c>
      <c r="M8" s="2" t="s">
        <v>22</v>
      </c>
      <c r="N8" s="2" t="s">
        <v>23</v>
      </c>
      <c r="O8" s="2" t="s">
        <v>21</v>
      </c>
      <c r="P8" s="6">
        <f>T_CURSOS[[#This Row],[IMPORTE PROFESOR]]+T_CURSOS[[#This Row],[IMPORTE COMERCIAL]]</f>
        <v>172.8</v>
      </c>
      <c r="Q8" s="6">
        <f>T_CURSOS[[#This Row],[IMPORTE CLIENTE]]-T_CURSOS[[#This Row],[GASTO]]</f>
        <v>187.2</v>
      </c>
      <c r="R8" s="7">
        <f>T_CURSOS[[#This Row],[BENEFICIO]]/T_CURSOS[[#This Row],[IMPORTE CLIENTE]]</f>
        <v>0.52</v>
      </c>
    </row>
    <row r="9" spans="1:18" x14ac:dyDescent="0.2">
      <c r="A9" s="2" t="s">
        <v>49</v>
      </c>
      <c r="B9" s="3" t="s">
        <v>25</v>
      </c>
      <c r="C9" s="3">
        <v>15</v>
      </c>
      <c r="D9" s="3" t="s">
        <v>38</v>
      </c>
      <c r="E9" s="4">
        <v>450</v>
      </c>
      <c r="F9" s="3" t="s">
        <v>39</v>
      </c>
      <c r="G9" s="4">
        <v>180</v>
      </c>
      <c r="H9" s="5">
        <v>43571</v>
      </c>
      <c r="I9" s="5" t="s">
        <v>28</v>
      </c>
      <c r="J9" s="3" t="s">
        <v>40</v>
      </c>
      <c r="K9" s="4">
        <v>36</v>
      </c>
      <c r="L9" s="3" t="s">
        <v>41</v>
      </c>
      <c r="M9" s="2" t="s">
        <v>30</v>
      </c>
      <c r="N9" s="2" t="s">
        <v>31</v>
      </c>
      <c r="O9" s="2" t="s">
        <v>21</v>
      </c>
      <c r="P9" s="6">
        <f>T_CURSOS[[#This Row],[IMPORTE PROFESOR]]+T_CURSOS[[#This Row],[IMPORTE COMERCIAL]]</f>
        <v>216</v>
      </c>
      <c r="Q9" s="6">
        <f>T_CURSOS[[#This Row],[IMPORTE CLIENTE]]-T_CURSOS[[#This Row],[GASTO]]</f>
        <v>234</v>
      </c>
      <c r="R9" s="7">
        <f>T_CURSOS[[#This Row],[BENEFICIO]]/T_CURSOS[[#This Row],[IMPORTE CLIENTE]]</f>
        <v>0.52</v>
      </c>
    </row>
    <row r="10" spans="1:18" x14ac:dyDescent="0.2">
      <c r="A10" s="2" t="s">
        <v>50</v>
      </c>
      <c r="B10" s="3" t="s">
        <v>25</v>
      </c>
      <c r="C10" s="3">
        <v>20</v>
      </c>
      <c r="D10" s="3" t="s">
        <v>51</v>
      </c>
      <c r="E10" s="4">
        <v>600</v>
      </c>
      <c r="F10" s="3" t="s">
        <v>18</v>
      </c>
      <c r="G10" s="4">
        <v>240</v>
      </c>
      <c r="H10" s="5">
        <v>44414</v>
      </c>
      <c r="I10" s="5" t="s">
        <v>28</v>
      </c>
      <c r="J10" s="3" t="s">
        <v>29</v>
      </c>
      <c r="K10" s="4">
        <v>48</v>
      </c>
      <c r="L10" s="3" t="s">
        <v>41</v>
      </c>
      <c r="M10" s="2" t="s">
        <v>45</v>
      </c>
      <c r="N10" s="2" t="s">
        <v>46</v>
      </c>
      <c r="O10" s="2" t="s">
        <v>21</v>
      </c>
      <c r="P10" s="6">
        <f>T_CURSOS[[#This Row],[IMPORTE PROFESOR]]+T_CURSOS[[#This Row],[IMPORTE COMERCIAL]]</f>
        <v>288</v>
      </c>
      <c r="Q10" s="6">
        <f>T_CURSOS[[#This Row],[IMPORTE CLIENTE]]-T_CURSOS[[#This Row],[GASTO]]</f>
        <v>312</v>
      </c>
      <c r="R10" s="7">
        <f>T_CURSOS[[#This Row],[BENEFICIO]]/T_CURSOS[[#This Row],[IMPORTE CLIENTE]]</f>
        <v>0.52</v>
      </c>
    </row>
    <row r="11" spans="1:18" x14ac:dyDescent="0.2">
      <c r="A11" s="2" t="s">
        <v>52</v>
      </c>
      <c r="B11" s="3" t="s">
        <v>53</v>
      </c>
      <c r="C11" s="3">
        <v>25</v>
      </c>
      <c r="D11" s="3" t="s">
        <v>34</v>
      </c>
      <c r="E11" s="4">
        <v>625</v>
      </c>
      <c r="F11" s="3" t="s">
        <v>27</v>
      </c>
      <c r="G11" s="4">
        <v>300</v>
      </c>
      <c r="H11" s="5">
        <v>44476</v>
      </c>
      <c r="I11" s="5" t="s">
        <v>28</v>
      </c>
      <c r="J11" s="3" t="s">
        <v>36</v>
      </c>
      <c r="K11" s="4">
        <v>31.25</v>
      </c>
      <c r="L11" s="3" t="s">
        <v>21</v>
      </c>
      <c r="M11" s="2" t="s">
        <v>22</v>
      </c>
      <c r="N11" s="2" t="s">
        <v>23</v>
      </c>
      <c r="O11" s="2" t="s">
        <v>21</v>
      </c>
      <c r="P11" s="6">
        <f>T_CURSOS[[#This Row],[IMPORTE PROFESOR]]+T_CURSOS[[#This Row],[IMPORTE COMERCIAL]]</f>
        <v>331.25</v>
      </c>
      <c r="Q11" s="6">
        <f>T_CURSOS[[#This Row],[IMPORTE CLIENTE]]-T_CURSOS[[#This Row],[GASTO]]</f>
        <v>293.75</v>
      </c>
      <c r="R11" s="7">
        <f>T_CURSOS[[#This Row],[BENEFICIO]]/T_CURSOS[[#This Row],[IMPORTE CLIENTE]]</f>
        <v>0.47</v>
      </c>
    </row>
    <row r="12" spans="1:18" x14ac:dyDescent="0.2">
      <c r="A12" s="2" t="s">
        <v>54</v>
      </c>
      <c r="B12" s="3" t="s">
        <v>55</v>
      </c>
      <c r="C12" s="3">
        <v>30</v>
      </c>
      <c r="D12" s="3" t="s">
        <v>56</v>
      </c>
      <c r="E12" s="4">
        <v>750</v>
      </c>
      <c r="F12" s="3" t="s">
        <v>35</v>
      </c>
      <c r="G12" s="4">
        <v>360</v>
      </c>
      <c r="H12" s="5">
        <v>43868</v>
      </c>
      <c r="I12" s="5" t="s">
        <v>57</v>
      </c>
      <c r="J12" s="3" t="s">
        <v>40</v>
      </c>
      <c r="K12" s="4">
        <v>37.5</v>
      </c>
      <c r="L12" s="3" t="s">
        <v>21</v>
      </c>
      <c r="M12" s="2" t="s">
        <v>22</v>
      </c>
      <c r="N12" s="2" t="s">
        <v>23</v>
      </c>
      <c r="O12" s="2" t="s">
        <v>21</v>
      </c>
      <c r="P12" s="6">
        <f>T_CURSOS[[#This Row],[IMPORTE PROFESOR]]+T_CURSOS[[#This Row],[IMPORTE COMERCIAL]]</f>
        <v>397.5</v>
      </c>
      <c r="Q12" s="6">
        <f>T_CURSOS[[#This Row],[IMPORTE CLIENTE]]-T_CURSOS[[#This Row],[GASTO]]</f>
        <v>352.5</v>
      </c>
      <c r="R12" s="7">
        <f>T_CURSOS[[#This Row],[BENEFICIO]]/T_CURSOS[[#This Row],[IMPORTE CLIENTE]]</f>
        <v>0.47</v>
      </c>
    </row>
    <row r="13" spans="1:18" x14ac:dyDescent="0.2">
      <c r="A13" s="2" t="s">
        <v>58</v>
      </c>
      <c r="B13" s="3" t="s">
        <v>55</v>
      </c>
      <c r="C13" s="3">
        <v>40</v>
      </c>
      <c r="D13" s="3" t="s">
        <v>43</v>
      </c>
      <c r="E13" s="4">
        <v>1000</v>
      </c>
      <c r="F13" s="3" t="s">
        <v>39</v>
      </c>
      <c r="G13" s="4">
        <v>480</v>
      </c>
      <c r="H13" s="5">
        <v>44266</v>
      </c>
      <c r="I13" s="5" t="s">
        <v>57</v>
      </c>
      <c r="J13" s="3" t="s">
        <v>20</v>
      </c>
      <c r="K13" s="4">
        <v>50</v>
      </c>
      <c r="L13" s="3" t="s">
        <v>21</v>
      </c>
      <c r="M13" s="2" t="s">
        <v>45</v>
      </c>
      <c r="N13" s="2" t="s">
        <v>46</v>
      </c>
      <c r="O13" s="2" t="s">
        <v>21</v>
      </c>
      <c r="P13" s="6">
        <f>T_CURSOS[[#This Row],[IMPORTE PROFESOR]]+T_CURSOS[[#This Row],[IMPORTE COMERCIAL]]</f>
        <v>530</v>
      </c>
      <c r="Q13" s="6">
        <f>T_CURSOS[[#This Row],[IMPORTE CLIENTE]]-T_CURSOS[[#This Row],[GASTO]]</f>
        <v>470</v>
      </c>
      <c r="R13" s="7">
        <f>T_CURSOS[[#This Row],[BENEFICIO]]/T_CURSOS[[#This Row],[IMPORTE CLIENTE]]</f>
        <v>0.47</v>
      </c>
    </row>
    <row r="14" spans="1:18" x14ac:dyDescent="0.2">
      <c r="A14" s="2" t="s">
        <v>59</v>
      </c>
      <c r="B14" s="3" t="s">
        <v>55</v>
      </c>
      <c r="C14" s="3">
        <v>35</v>
      </c>
      <c r="D14" s="3" t="s">
        <v>51</v>
      </c>
      <c r="E14" s="4">
        <v>875</v>
      </c>
      <c r="F14" s="3" t="s">
        <v>44</v>
      </c>
      <c r="G14" s="4">
        <v>420</v>
      </c>
      <c r="H14" s="5">
        <v>43543</v>
      </c>
      <c r="I14" s="5" t="s">
        <v>57</v>
      </c>
      <c r="J14" s="3" t="s">
        <v>29</v>
      </c>
      <c r="K14" s="4">
        <v>43.75</v>
      </c>
      <c r="L14" s="3" t="s">
        <v>21</v>
      </c>
      <c r="M14" s="2" t="s">
        <v>45</v>
      </c>
      <c r="N14" s="2" t="s">
        <v>46</v>
      </c>
      <c r="O14" s="2" t="s">
        <v>21</v>
      </c>
      <c r="P14" s="6">
        <f>T_CURSOS[[#This Row],[IMPORTE PROFESOR]]+T_CURSOS[[#This Row],[IMPORTE COMERCIAL]]</f>
        <v>463.75</v>
      </c>
      <c r="Q14" s="6">
        <f>T_CURSOS[[#This Row],[IMPORTE CLIENTE]]-T_CURSOS[[#This Row],[GASTO]]</f>
        <v>411.25</v>
      </c>
      <c r="R14" s="7">
        <f>T_CURSOS[[#This Row],[BENEFICIO]]/T_CURSOS[[#This Row],[IMPORTE CLIENTE]]</f>
        <v>0.47</v>
      </c>
    </row>
    <row r="15" spans="1:18" x14ac:dyDescent="0.2">
      <c r="A15" s="2" t="s">
        <v>60</v>
      </c>
      <c r="B15" s="3" t="s">
        <v>53</v>
      </c>
      <c r="C15" s="3">
        <v>45</v>
      </c>
      <c r="D15" s="3" t="s">
        <v>61</v>
      </c>
      <c r="E15" s="4">
        <v>1125</v>
      </c>
      <c r="F15" s="3" t="s">
        <v>27</v>
      </c>
      <c r="G15" s="4">
        <v>540</v>
      </c>
      <c r="H15" s="5">
        <v>43696</v>
      </c>
      <c r="I15" s="5" t="s">
        <v>28</v>
      </c>
      <c r="J15" s="3" t="s">
        <v>36</v>
      </c>
      <c r="K15" s="4">
        <v>56.25</v>
      </c>
      <c r="L15" s="3" t="s">
        <v>21</v>
      </c>
      <c r="M15" s="2" t="s">
        <v>22</v>
      </c>
      <c r="N15" s="2" t="s">
        <v>23</v>
      </c>
      <c r="O15" s="2" t="s">
        <v>21</v>
      </c>
      <c r="P15" s="6">
        <f>T_CURSOS[[#This Row],[IMPORTE PROFESOR]]+T_CURSOS[[#This Row],[IMPORTE COMERCIAL]]</f>
        <v>596.25</v>
      </c>
      <c r="Q15" s="6">
        <f>T_CURSOS[[#This Row],[IMPORTE CLIENTE]]-T_CURSOS[[#This Row],[GASTO]]</f>
        <v>528.75</v>
      </c>
      <c r="R15" s="7">
        <f>T_CURSOS[[#This Row],[BENEFICIO]]/T_CURSOS[[#This Row],[IMPORTE CLIENTE]]</f>
        <v>0.47</v>
      </c>
    </row>
    <row r="16" spans="1:18" x14ac:dyDescent="0.2">
      <c r="A16" s="2" t="s">
        <v>62</v>
      </c>
      <c r="B16" s="3" t="s">
        <v>63</v>
      </c>
      <c r="C16" s="3">
        <v>18</v>
      </c>
      <c r="D16" s="3" t="s">
        <v>38</v>
      </c>
      <c r="E16" s="4">
        <v>1350</v>
      </c>
      <c r="F16" s="3" t="s">
        <v>35</v>
      </c>
      <c r="G16" s="4">
        <v>216</v>
      </c>
      <c r="H16" s="5">
        <v>43711</v>
      </c>
      <c r="I16" s="5" t="s">
        <v>28</v>
      </c>
      <c r="J16" s="3" t="s">
        <v>20</v>
      </c>
      <c r="K16" s="4">
        <v>202.5</v>
      </c>
      <c r="L16" s="3" t="s">
        <v>21</v>
      </c>
      <c r="M16" s="2" t="s">
        <v>30</v>
      </c>
      <c r="N16" s="2" t="s">
        <v>31</v>
      </c>
      <c r="O16" s="2" t="s">
        <v>21</v>
      </c>
      <c r="P16" s="6">
        <f>T_CURSOS[[#This Row],[IMPORTE PROFESOR]]+T_CURSOS[[#This Row],[IMPORTE COMERCIAL]]</f>
        <v>418.5</v>
      </c>
      <c r="Q16" s="6">
        <f>T_CURSOS[[#This Row],[IMPORTE CLIENTE]]-T_CURSOS[[#This Row],[GASTO]]</f>
        <v>931.5</v>
      </c>
      <c r="R16" s="7">
        <f>T_CURSOS[[#This Row],[BENEFICIO]]/T_CURSOS[[#This Row],[IMPORTE CLIENTE]]</f>
        <v>0.69</v>
      </c>
    </row>
    <row r="17" spans="1:18" x14ac:dyDescent="0.2">
      <c r="A17" s="2" t="s">
        <v>64</v>
      </c>
      <c r="B17" s="3" t="s">
        <v>65</v>
      </c>
      <c r="C17" s="3">
        <v>10</v>
      </c>
      <c r="D17" s="3" t="s">
        <v>43</v>
      </c>
      <c r="E17" s="4">
        <v>600</v>
      </c>
      <c r="F17" s="3" t="s">
        <v>39</v>
      </c>
      <c r="G17" s="4">
        <v>120</v>
      </c>
      <c r="H17" s="5">
        <v>44304</v>
      </c>
      <c r="I17" s="5" t="s">
        <v>28</v>
      </c>
      <c r="J17" s="3" t="s">
        <v>29</v>
      </c>
      <c r="K17" s="4">
        <v>72</v>
      </c>
      <c r="L17" s="3" t="s">
        <v>21</v>
      </c>
      <c r="M17" s="2" t="s">
        <v>45</v>
      </c>
      <c r="N17" s="2" t="s">
        <v>46</v>
      </c>
      <c r="O17" s="2" t="s">
        <v>21</v>
      </c>
      <c r="P17" s="6">
        <f>T_CURSOS[[#This Row],[IMPORTE PROFESOR]]+T_CURSOS[[#This Row],[IMPORTE COMERCIAL]]</f>
        <v>192</v>
      </c>
      <c r="Q17" s="6">
        <f>T_CURSOS[[#This Row],[IMPORTE CLIENTE]]-T_CURSOS[[#This Row],[GASTO]]</f>
        <v>408</v>
      </c>
      <c r="R17" s="7">
        <f>T_CURSOS[[#This Row],[BENEFICIO]]/T_CURSOS[[#This Row],[IMPORTE CLIENTE]]</f>
        <v>0.68</v>
      </c>
    </row>
    <row r="18" spans="1:18" x14ac:dyDescent="0.2">
      <c r="A18" s="2" t="s">
        <v>66</v>
      </c>
      <c r="B18" s="3" t="s">
        <v>65</v>
      </c>
      <c r="C18" s="3">
        <v>12</v>
      </c>
      <c r="D18" s="3" t="s">
        <v>51</v>
      </c>
      <c r="E18" s="4">
        <v>720</v>
      </c>
      <c r="F18" s="3" t="s">
        <v>44</v>
      </c>
      <c r="G18" s="4">
        <v>144</v>
      </c>
      <c r="H18" s="5">
        <v>43835</v>
      </c>
      <c r="I18" s="5" t="s">
        <v>28</v>
      </c>
      <c r="J18" s="3" t="s">
        <v>36</v>
      </c>
      <c r="K18" s="4">
        <v>86.4</v>
      </c>
      <c r="L18" s="3" t="s">
        <v>21</v>
      </c>
      <c r="M18" s="2" t="s">
        <v>45</v>
      </c>
      <c r="N18" s="2" t="s">
        <v>46</v>
      </c>
      <c r="O18" s="2" t="s">
        <v>21</v>
      </c>
      <c r="P18" s="6">
        <f>T_CURSOS[[#This Row],[IMPORTE PROFESOR]]+T_CURSOS[[#This Row],[IMPORTE COMERCIAL]]</f>
        <v>230.4</v>
      </c>
      <c r="Q18" s="6">
        <f>T_CURSOS[[#This Row],[IMPORTE CLIENTE]]-T_CURSOS[[#This Row],[GASTO]]</f>
        <v>489.6</v>
      </c>
      <c r="R18" s="7">
        <f>T_CURSOS[[#This Row],[BENEFICIO]]/T_CURSOS[[#This Row],[IMPORTE CLIENTE]]</f>
        <v>0.68</v>
      </c>
    </row>
    <row r="19" spans="1:18" x14ac:dyDescent="0.2">
      <c r="A19" s="2" t="s">
        <v>67</v>
      </c>
      <c r="B19" s="3" t="s">
        <v>65</v>
      </c>
      <c r="C19" s="3">
        <v>15</v>
      </c>
      <c r="D19" s="3" t="s">
        <v>34</v>
      </c>
      <c r="E19" s="4">
        <v>900</v>
      </c>
      <c r="F19" s="3" t="s">
        <v>27</v>
      </c>
      <c r="G19" s="4">
        <v>180</v>
      </c>
      <c r="H19" s="5">
        <v>44064</v>
      </c>
      <c r="I19" s="5" t="s">
        <v>57</v>
      </c>
      <c r="J19" s="3" t="s">
        <v>40</v>
      </c>
      <c r="K19" s="4">
        <v>108</v>
      </c>
      <c r="L19" s="3" t="s">
        <v>21</v>
      </c>
      <c r="M19" s="2" t="s">
        <v>22</v>
      </c>
      <c r="N19" s="2" t="s">
        <v>23</v>
      </c>
      <c r="O19" s="2" t="s">
        <v>41</v>
      </c>
      <c r="P19" s="6">
        <f>T_CURSOS[[#This Row],[IMPORTE PROFESOR]]+T_CURSOS[[#This Row],[IMPORTE COMERCIAL]]</f>
        <v>288</v>
      </c>
      <c r="Q19" s="6">
        <f>T_CURSOS[[#This Row],[IMPORTE CLIENTE]]-T_CURSOS[[#This Row],[GASTO]]</f>
        <v>612</v>
      </c>
      <c r="R19" s="7">
        <f>T_CURSOS[[#This Row],[BENEFICIO]]/T_CURSOS[[#This Row],[IMPORTE CLIENTE]]</f>
        <v>0.68</v>
      </c>
    </row>
    <row r="20" spans="1:18" x14ac:dyDescent="0.2">
      <c r="A20" s="2" t="s">
        <v>68</v>
      </c>
      <c r="B20" s="3" t="s">
        <v>33</v>
      </c>
      <c r="C20" s="3">
        <v>25</v>
      </c>
      <c r="D20" s="3" t="s">
        <v>56</v>
      </c>
      <c r="E20" s="4">
        <v>1000</v>
      </c>
      <c r="F20" s="3" t="s">
        <v>35</v>
      </c>
      <c r="G20" s="4">
        <v>300</v>
      </c>
      <c r="H20" s="5">
        <v>43826</v>
      </c>
      <c r="I20" s="5" t="s">
        <v>57</v>
      </c>
      <c r="J20" s="3" t="s">
        <v>20</v>
      </c>
      <c r="K20" s="4">
        <v>100</v>
      </c>
      <c r="L20" s="3" t="s">
        <v>21</v>
      </c>
      <c r="M20" s="2" t="s">
        <v>22</v>
      </c>
      <c r="N20" s="2" t="s">
        <v>23</v>
      </c>
      <c r="O20" s="2" t="s">
        <v>21</v>
      </c>
      <c r="P20" s="6">
        <f>T_CURSOS[[#This Row],[IMPORTE PROFESOR]]+T_CURSOS[[#This Row],[IMPORTE COMERCIAL]]</f>
        <v>400</v>
      </c>
      <c r="Q20" s="6">
        <f>T_CURSOS[[#This Row],[IMPORTE CLIENTE]]-T_CURSOS[[#This Row],[GASTO]]</f>
        <v>600</v>
      </c>
      <c r="R20" s="7">
        <f>T_CURSOS[[#This Row],[BENEFICIO]]/T_CURSOS[[#This Row],[IMPORTE CLIENTE]]</f>
        <v>0.6</v>
      </c>
    </row>
    <row r="21" spans="1:18" x14ac:dyDescent="0.2">
      <c r="A21" s="2" t="s">
        <v>69</v>
      </c>
      <c r="B21" s="3" t="s">
        <v>33</v>
      </c>
      <c r="C21" s="3">
        <v>15</v>
      </c>
      <c r="D21" s="3" t="s">
        <v>56</v>
      </c>
      <c r="E21" s="4">
        <v>600</v>
      </c>
      <c r="F21" s="3" t="s">
        <v>39</v>
      </c>
      <c r="G21" s="4">
        <v>180</v>
      </c>
      <c r="H21" s="5">
        <v>44225</v>
      </c>
      <c r="I21" s="5" t="s">
        <v>57</v>
      </c>
      <c r="J21" s="3" t="s">
        <v>29</v>
      </c>
      <c r="K21" s="4">
        <v>60</v>
      </c>
      <c r="L21" s="3" t="s">
        <v>21</v>
      </c>
      <c r="M21" s="2" t="s">
        <v>22</v>
      </c>
      <c r="N21" s="2" t="s">
        <v>23</v>
      </c>
      <c r="O21" s="2" t="s">
        <v>21</v>
      </c>
      <c r="P21" s="6">
        <f>T_CURSOS[[#This Row],[IMPORTE PROFESOR]]+T_CURSOS[[#This Row],[IMPORTE COMERCIAL]]</f>
        <v>240</v>
      </c>
      <c r="Q21" s="6">
        <f>T_CURSOS[[#This Row],[IMPORTE CLIENTE]]-T_CURSOS[[#This Row],[GASTO]]</f>
        <v>360</v>
      </c>
      <c r="R21" s="7">
        <f>T_CURSOS[[#This Row],[BENEFICIO]]/T_CURSOS[[#This Row],[IMPORTE CLIENTE]]</f>
        <v>0.6</v>
      </c>
    </row>
    <row r="22" spans="1:18" x14ac:dyDescent="0.2">
      <c r="A22" s="2" t="s">
        <v>70</v>
      </c>
      <c r="B22" s="3" t="s">
        <v>33</v>
      </c>
      <c r="C22" s="3">
        <v>20</v>
      </c>
      <c r="D22" s="3" t="s">
        <v>51</v>
      </c>
      <c r="E22" s="4">
        <v>800</v>
      </c>
      <c r="F22" s="3" t="s">
        <v>18</v>
      </c>
      <c r="G22" s="4">
        <v>240</v>
      </c>
      <c r="H22" s="5">
        <v>43953</v>
      </c>
      <c r="I22" s="5" t="s">
        <v>57</v>
      </c>
      <c r="J22" s="3" t="s">
        <v>36</v>
      </c>
      <c r="K22" s="4">
        <v>80</v>
      </c>
      <c r="L22" s="3" t="s">
        <v>21</v>
      </c>
      <c r="M22" s="2" t="s">
        <v>45</v>
      </c>
      <c r="N22" s="2" t="s">
        <v>46</v>
      </c>
      <c r="O22" s="2" t="s">
        <v>21</v>
      </c>
      <c r="P22" s="6">
        <f>T_CURSOS[[#This Row],[IMPORTE PROFESOR]]+T_CURSOS[[#This Row],[IMPORTE COMERCIAL]]</f>
        <v>320</v>
      </c>
      <c r="Q22" s="6">
        <f>T_CURSOS[[#This Row],[IMPORTE CLIENTE]]-T_CURSOS[[#This Row],[GASTO]]</f>
        <v>480</v>
      </c>
      <c r="R22" s="7">
        <f>T_CURSOS[[#This Row],[BENEFICIO]]/T_CURSOS[[#This Row],[IMPORTE CLIENTE]]</f>
        <v>0.6</v>
      </c>
    </row>
    <row r="23" spans="1:18" x14ac:dyDescent="0.2">
      <c r="A23" s="2" t="s">
        <v>71</v>
      </c>
      <c r="B23" s="3" t="s">
        <v>33</v>
      </c>
      <c r="C23" s="3">
        <v>20</v>
      </c>
      <c r="D23" s="3" t="s">
        <v>43</v>
      </c>
      <c r="E23" s="4">
        <v>800</v>
      </c>
      <c r="F23" s="3" t="s">
        <v>27</v>
      </c>
      <c r="G23" s="4">
        <v>240</v>
      </c>
      <c r="H23" s="5">
        <v>43927</v>
      </c>
      <c r="I23" s="5" t="s">
        <v>57</v>
      </c>
      <c r="J23" s="3" t="s">
        <v>40</v>
      </c>
      <c r="K23" s="4">
        <v>80</v>
      </c>
      <c r="L23" s="3" t="s">
        <v>21</v>
      </c>
      <c r="M23" s="2" t="s">
        <v>45</v>
      </c>
      <c r="N23" s="2" t="s">
        <v>46</v>
      </c>
      <c r="O23" s="2" t="s">
        <v>21</v>
      </c>
      <c r="P23" s="6">
        <f>T_CURSOS[[#This Row],[IMPORTE PROFESOR]]+T_CURSOS[[#This Row],[IMPORTE COMERCIAL]]</f>
        <v>320</v>
      </c>
      <c r="Q23" s="6">
        <f>T_CURSOS[[#This Row],[IMPORTE CLIENTE]]-T_CURSOS[[#This Row],[GASTO]]</f>
        <v>480</v>
      </c>
      <c r="R23" s="7">
        <f>T_CURSOS[[#This Row],[BENEFICIO]]/T_CURSOS[[#This Row],[IMPORTE CLIENTE]]</f>
        <v>0.6</v>
      </c>
    </row>
    <row r="24" spans="1:18" x14ac:dyDescent="0.2">
      <c r="A24" s="2" t="s">
        <v>72</v>
      </c>
      <c r="B24" s="3" t="s">
        <v>25</v>
      </c>
      <c r="C24" s="3">
        <v>30</v>
      </c>
      <c r="D24" s="3" t="s">
        <v>61</v>
      </c>
      <c r="E24" s="4">
        <v>900</v>
      </c>
      <c r="F24" s="3" t="s">
        <v>35</v>
      </c>
      <c r="G24" s="4">
        <v>360</v>
      </c>
      <c r="H24" s="5">
        <v>43705</v>
      </c>
      <c r="I24" s="5" t="s">
        <v>28</v>
      </c>
      <c r="J24" s="3" t="s">
        <v>29</v>
      </c>
      <c r="K24" s="4">
        <v>72</v>
      </c>
      <c r="L24" s="3" t="s">
        <v>21</v>
      </c>
      <c r="M24" s="2" t="s">
        <v>22</v>
      </c>
      <c r="N24" s="2" t="s">
        <v>73</v>
      </c>
      <c r="O24" s="2" t="s">
        <v>21</v>
      </c>
      <c r="P24" s="6">
        <f>T_CURSOS[[#This Row],[IMPORTE PROFESOR]]+T_CURSOS[[#This Row],[IMPORTE COMERCIAL]]</f>
        <v>432</v>
      </c>
      <c r="Q24" s="6">
        <f>T_CURSOS[[#This Row],[IMPORTE CLIENTE]]-T_CURSOS[[#This Row],[GASTO]]</f>
        <v>468</v>
      </c>
      <c r="R24" s="7">
        <f>T_CURSOS[[#This Row],[BENEFICIO]]/T_CURSOS[[#This Row],[IMPORTE CLIENTE]]</f>
        <v>0.52</v>
      </c>
    </row>
    <row r="25" spans="1:18" x14ac:dyDescent="0.2">
      <c r="A25" s="2" t="s">
        <v>74</v>
      </c>
      <c r="B25" s="3" t="s">
        <v>25</v>
      </c>
      <c r="C25" s="3">
        <v>35</v>
      </c>
      <c r="D25" s="3" t="s">
        <v>61</v>
      </c>
      <c r="E25" s="4">
        <v>1050</v>
      </c>
      <c r="F25" s="3" t="s">
        <v>35</v>
      </c>
      <c r="G25" s="4">
        <v>420</v>
      </c>
      <c r="H25" s="5">
        <v>43770</v>
      </c>
      <c r="I25" s="5" t="s">
        <v>19</v>
      </c>
      <c r="J25" s="3" t="s">
        <v>36</v>
      </c>
      <c r="K25" s="4">
        <v>84</v>
      </c>
      <c r="L25" s="3" t="s">
        <v>21</v>
      </c>
      <c r="M25" s="2" t="s">
        <v>22</v>
      </c>
      <c r="N25" s="2" t="s">
        <v>73</v>
      </c>
      <c r="O25" s="2" t="s">
        <v>21</v>
      </c>
      <c r="P25" s="6">
        <f>T_CURSOS[[#This Row],[IMPORTE PROFESOR]]+T_CURSOS[[#This Row],[IMPORTE COMERCIAL]]</f>
        <v>504</v>
      </c>
      <c r="Q25" s="6">
        <f>T_CURSOS[[#This Row],[IMPORTE CLIENTE]]-T_CURSOS[[#This Row],[GASTO]]</f>
        <v>546</v>
      </c>
      <c r="R25" s="7">
        <f>T_CURSOS[[#This Row],[BENEFICIO]]/T_CURSOS[[#This Row],[IMPORTE CLIENTE]]</f>
        <v>0.52</v>
      </c>
    </row>
    <row r="26" spans="1:18" x14ac:dyDescent="0.2">
      <c r="A26" s="2" t="s">
        <v>75</v>
      </c>
      <c r="B26" s="3" t="s">
        <v>25</v>
      </c>
      <c r="C26" s="3">
        <v>40</v>
      </c>
      <c r="D26" s="3" t="s">
        <v>56</v>
      </c>
      <c r="E26" s="4">
        <v>1200</v>
      </c>
      <c r="F26" s="3" t="s">
        <v>39</v>
      </c>
      <c r="G26" s="4">
        <v>480</v>
      </c>
      <c r="H26" s="5">
        <v>44271</v>
      </c>
      <c r="I26" s="5" t="s">
        <v>28</v>
      </c>
      <c r="J26" s="3" t="s">
        <v>40</v>
      </c>
      <c r="K26" s="4">
        <v>96</v>
      </c>
      <c r="L26" s="3" t="s">
        <v>21</v>
      </c>
      <c r="M26" s="2" t="s">
        <v>22</v>
      </c>
      <c r="N26" s="2" t="s">
        <v>73</v>
      </c>
      <c r="O26" s="2" t="s">
        <v>41</v>
      </c>
      <c r="P26" s="6">
        <f>T_CURSOS[[#This Row],[IMPORTE PROFESOR]]+T_CURSOS[[#This Row],[IMPORTE COMERCIAL]]</f>
        <v>576</v>
      </c>
      <c r="Q26" s="6">
        <f>T_CURSOS[[#This Row],[IMPORTE CLIENTE]]-T_CURSOS[[#This Row],[GASTO]]</f>
        <v>624</v>
      </c>
      <c r="R26" s="7">
        <f>T_CURSOS[[#This Row],[BENEFICIO]]/T_CURSOS[[#This Row],[IMPORTE CLIENTE]]</f>
        <v>0.52</v>
      </c>
    </row>
    <row r="27" spans="1:18" x14ac:dyDescent="0.2">
      <c r="A27" s="2" t="s">
        <v>76</v>
      </c>
      <c r="B27" s="3" t="s">
        <v>16</v>
      </c>
      <c r="C27" s="3">
        <v>40</v>
      </c>
      <c r="D27" s="3" t="s">
        <v>43</v>
      </c>
      <c r="E27" s="4">
        <v>1000</v>
      </c>
      <c r="F27" s="3" t="s">
        <v>44</v>
      </c>
      <c r="G27" s="4">
        <v>480</v>
      </c>
      <c r="H27" s="5">
        <v>43823</v>
      </c>
      <c r="I27" s="5" t="s">
        <v>19</v>
      </c>
      <c r="J27" s="3" t="s">
        <v>20</v>
      </c>
      <c r="K27" s="4">
        <v>70</v>
      </c>
      <c r="L27" s="3" t="s">
        <v>41</v>
      </c>
      <c r="M27" s="2" t="s">
        <v>45</v>
      </c>
      <c r="N27" s="2" t="s">
        <v>46</v>
      </c>
      <c r="O27" s="2" t="s">
        <v>41</v>
      </c>
      <c r="P27" s="6">
        <f>T_CURSOS[[#This Row],[IMPORTE PROFESOR]]+T_CURSOS[[#This Row],[IMPORTE COMERCIAL]]</f>
        <v>550</v>
      </c>
      <c r="Q27" s="6">
        <f>T_CURSOS[[#This Row],[IMPORTE CLIENTE]]-T_CURSOS[[#This Row],[GASTO]]</f>
        <v>450</v>
      </c>
      <c r="R27" s="7">
        <f>T_CURSOS[[#This Row],[BENEFICIO]]/T_CURSOS[[#This Row],[IMPORTE CLIENTE]]</f>
        <v>0.45</v>
      </c>
    </row>
    <row r="28" spans="1:18" x14ac:dyDescent="0.2">
      <c r="A28" s="2" t="s">
        <v>77</v>
      </c>
      <c r="B28" s="3" t="s">
        <v>16</v>
      </c>
      <c r="C28" s="3">
        <v>35</v>
      </c>
      <c r="D28" s="3" t="s">
        <v>38</v>
      </c>
      <c r="E28" s="4">
        <v>875</v>
      </c>
      <c r="F28" s="3" t="s">
        <v>27</v>
      </c>
      <c r="G28" s="4">
        <v>420</v>
      </c>
      <c r="H28" s="5">
        <v>44142</v>
      </c>
      <c r="I28" s="5" t="s">
        <v>19</v>
      </c>
      <c r="J28" s="3" t="s">
        <v>29</v>
      </c>
      <c r="K28" s="4">
        <v>61.25</v>
      </c>
      <c r="L28" s="3" t="s">
        <v>41</v>
      </c>
      <c r="M28" s="2" t="s">
        <v>30</v>
      </c>
      <c r="N28" s="2" t="s">
        <v>31</v>
      </c>
      <c r="O28" s="2" t="s">
        <v>21</v>
      </c>
      <c r="P28" s="6">
        <f>T_CURSOS[[#This Row],[IMPORTE PROFESOR]]+T_CURSOS[[#This Row],[IMPORTE COMERCIAL]]</f>
        <v>481.25</v>
      </c>
      <c r="Q28" s="6">
        <f>T_CURSOS[[#This Row],[IMPORTE CLIENTE]]-T_CURSOS[[#This Row],[GASTO]]</f>
        <v>393.75</v>
      </c>
      <c r="R28" s="7">
        <f>T_CURSOS[[#This Row],[BENEFICIO]]/T_CURSOS[[#This Row],[IMPORTE CLIENTE]]</f>
        <v>0.45</v>
      </c>
    </row>
    <row r="29" spans="1:18" x14ac:dyDescent="0.2">
      <c r="A29" s="2" t="s">
        <v>78</v>
      </c>
      <c r="B29" s="3" t="s">
        <v>16</v>
      </c>
      <c r="C29" s="3">
        <v>45</v>
      </c>
      <c r="D29" s="3" t="s">
        <v>43</v>
      </c>
      <c r="E29" s="4">
        <v>1125</v>
      </c>
      <c r="F29" s="3" t="s">
        <v>35</v>
      </c>
      <c r="G29" s="4">
        <v>540</v>
      </c>
      <c r="H29" s="5">
        <v>43613</v>
      </c>
      <c r="I29" s="5" t="s">
        <v>19</v>
      </c>
      <c r="J29" s="3" t="s">
        <v>36</v>
      </c>
      <c r="K29" s="4">
        <v>78.75</v>
      </c>
      <c r="L29" s="3" t="s">
        <v>41</v>
      </c>
      <c r="M29" s="2" t="s">
        <v>45</v>
      </c>
      <c r="N29" s="2" t="s">
        <v>46</v>
      </c>
      <c r="O29" s="2" t="s">
        <v>21</v>
      </c>
      <c r="P29" s="6">
        <f>T_CURSOS[[#This Row],[IMPORTE PROFESOR]]+T_CURSOS[[#This Row],[IMPORTE COMERCIAL]]</f>
        <v>618.75</v>
      </c>
      <c r="Q29" s="6">
        <f>T_CURSOS[[#This Row],[IMPORTE CLIENTE]]-T_CURSOS[[#This Row],[GASTO]]</f>
        <v>506.25</v>
      </c>
      <c r="R29" s="7">
        <f>T_CURSOS[[#This Row],[BENEFICIO]]/T_CURSOS[[#This Row],[IMPORTE CLIENTE]]</f>
        <v>0.45</v>
      </c>
    </row>
    <row r="30" spans="1:18" x14ac:dyDescent="0.2">
      <c r="A30" s="2" t="s">
        <v>79</v>
      </c>
      <c r="B30" s="3" t="s">
        <v>16</v>
      </c>
      <c r="C30" s="3">
        <v>25</v>
      </c>
      <c r="D30" s="3" t="s">
        <v>34</v>
      </c>
      <c r="E30" s="4">
        <v>625</v>
      </c>
      <c r="F30" s="3" t="s">
        <v>39</v>
      </c>
      <c r="G30" s="4">
        <v>300</v>
      </c>
      <c r="H30" s="5">
        <v>43877</v>
      </c>
      <c r="I30" s="5" t="s">
        <v>19</v>
      </c>
      <c r="J30" s="3" t="s">
        <v>20</v>
      </c>
      <c r="K30" s="4">
        <v>43.75</v>
      </c>
      <c r="L30" s="3" t="s">
        <v>41</v>
      </c>
      <c r="M30" s="2" t="s">
        <v>22</v>
      </c>
      <c r="N30" s="2" t="s">
        <v>73</v>
      </c>
      <c r="O30" s="2" t="s">
        <v>41</v>
      </c>
      <c r="P30" s="6">
        <f>T_CURSOS[[#This Row],[IMPORTE PROFESOR]]+T_CURSOS[[#This Row],[IMPORTE COMERCIAL]]</f>
        <v>343.75</v>
      </c>
      <c r="Q30" s="6">
        <f>T_CURSOS[[#This Row],[IMPORTE CLIENTE]]-T_CURSOS[[#This Row],[GASTO]]</f>
        <v>281.25</v>
      </c>
      <c r="R30" s="7">
        <f>T_CURSOS[[#This Row],[BENEFICIO]]/T_CURSOS[[#This Row],[IMPORTE CLIENTE]]</f>
        <v>0.45</v>
      </c>
    </row>
    <row r="31" spans="1:18" x14ac:dyDescent="0.2">
      <c r="A31" s="2" t="s">
        <v>80</v>
      </c>
      <c r="B31" s="3" t="s">
        <v>25</v>
      </c>
      <c r="C31" s="3">
        <v>20</v>
      </c>
      <c r="D31" s="3" t="s">
        <v>38</v>
      </c>
      <c r="E31" s="4">
        <v>600</v>
      </c>
      <c r="F31" s="3" t="s">
        <v>18</v>
      </c>
      <c r="G31" s="4">
        <v>240</v>
      </c>
      <c r="H31" s="5">
        <v>43766</v>
      </c>
      <c r="I31" s="5" t="s">
        <v>28</v>
      </c>
      <c r="J31" s="3" t="s">
        <v>29</v>
      </c>
      <c r="K31" s="4">
        <v>48</v>
      </c>
      <c r="L31" s="3" t="s">
        <v>21</v>
      </c>
      <c r="M31" s="2" t="s">
        <v>30</v>
      </c>
      <c r="N31" s="2" t="s">
        <v>31</v>
      </c>
      <c r="O31" s="2" t="s">
        <v>21</v>
      </c>
      <c r="P31" s="6">
        <f>T_CURSOS[[#This Row],[IMPORTE PROFESOR]]+T_CURSOS[[#This Row],[IMPORTE COMERCIAL]]</f>
        <v>288</v>
      </c>
      <c r="Q31" s="6">
        <f>T_CURSOS[[#This Row],[IMPORTE CLIENTE]]-T_CURSOS[[#This Row],[GASTO]]</f>
        <v>312</v>
      </c>
      <c r="R31" s="7">
        <f>T_CURSOS[[#This Row],[BENEFICIO]]/T_CURSOS[[#This Row],[IMPORTE CLIENTE]]</f>
        <v>0.52</v>
      </c>
    </row>
    <row r="32" spans="1:18" x14ac:dyDescent="0.2">
      <c r="A32" s="2" t="s">
        <v>81</v>
      </c>
      <c r="B32" s="3" t="s">
        <v>33</v>
      </c>
      <c r="C32" s="3">
        <v>10</v>
      </c>
      <c r="D32" s="3" t="s">
        <v>43</v>
      </c>
      <c r="E32" s="4">
        <v>400</v>
      </c>
      <c r="F32" s="3" t="s">
        <v>27</v>
      </c>
      <c r="G32" s="4">
        <v>120</v>
      </c>
      <c r="H32" s="5">
        <v>44336</v>
      </c>
      <c r="I32" s="5" t="s">
        <v>28</v>
      </c>
      <c r="J32" s="3" t="s">
        <v>36</v>
      </c>
      <c r="K32" s="4">
        <v>40</v>
      </c>
      <c r="L32" s="3" t="s">
        <v>21</v>
      </c>
      <c r="M32" s="2" t="s">
        <v>45</v>
      </c>
      <c r="N32" s="2" t="s">
        <v>82</v>
      </c>
      <c r="O32" s="2" t="s">
        <v>21</v>
      </c>
      <c r="P32" s="6">
        <f>T_CURSOS[[#This Row],[IMPORTE PROFESOR]]+T_CURSOS[[#This Row],[IMPORTE COMERCIAL]]</f>
        <v>160</v>
      </c>
      <c r="Q32" s="6">
        <f>T_CURSOS[[#This Row],[IMPORTE CLIENTE]]-T_CURSOS[[#This Row],[GASTO]]</f>
        <v>240</v>
      </c>
      <c r="R32" s="7">
        <f>T_CURSOS[[#This Row],[BENEFICIO]]/T_CURSOS[[#This Row],[IMPORTE CLIENTE]]</f>
        <v>0.6</v>
      </c>
    </row>
    <row r="33" spans="1:18" x14ac:dyDescent="0.2">
      <c r="A33" s="2" t="s">
        <v>83</v>
      </c>
      <c r="B33" s="3" t="s">
        <v>16</v>
      </c>
      <c r="C33" s="3">
        <v>12</v>
      </c>
      <c r="D33" s="3" t="s">
        <v>38</v>
      </c>
      <c r="E33" s="4">
        <v>300</v>
      </c>
      <c r="F33" s="3" t="s">
        <v>35</v>
      </c>
      <c r="G33" s="4">
        <v>144</v>
      </c>
      <c r="H33" s="5">
        <v>44448</v>
      </c>
      <c r="I33" s="5" t="s">
        <v>28</v>
      </c>
      <c r="J33" s="3" t="s">
        <v>40</v>
      </c>
      <c r="K33" s="4">
        <v>21</v>
      </c>
      <c r="L33" s="3" t="s">
        <v>21</v>
      </c>
      <c r="M33" s="2" t="s">
        <v>30</v>
      </c>
      <c r="N33" s="2" t="s">
        <v>31</v>
      </c>
      <c r="O33" s="2" t="s">
        <v>41</v>
      </c>
      <c r="P33" s="6">
        <f>T_CURSOS[[#This Row],[IMPORTE PROFESOR]]+T_CURSOS[[#This Row],[IMPORTE COMERCIAL]]</f>
        <v>165</v>
      </c>
      <c r="Q33" s="6">
        <f>T_CURSOS[[#This Row],[IMPORTE CLIENTE]]-T_CURSOS[[#This Row],[GASTO]]</f>
        <v>135</v>
      </c>
      <c r="R33" s="7">
        <f>T_CURSOS[[#This Row],[BENEFICIO]]/T_CURSOS[[#This Row],[IMPORTE CLIENTE]]</f>
        <v>0.45</v>
      </c>
    </row>
    <row r="34" spans="1:18" x14ac:dyDescent="0.2">
      <c r="A34" s="2" t="s">
        <v>84</v>
      </c>
      <c r="B34" s="3" t="s">
        <v>16</v>
      </c>
      <c r="C34" s="3">
        <v>15</v>
      </c>
      <c r="D34" s="3" t="s">
        <v>34</v>
      </c>
      <c r="E34" s="4">
        <v>375</v>
      </c>
      <c r="F34" s="3" t="s">
        <v>39</v>
      </c>
      <c r="G34" s="4">
        <v>180</v>
      </c>
      <c r="H34" s="5">
        <v>44411</v>
      </c>
      <c r="I34" s="5" t="s">
        <v>28</v>
      </c>
      <c r="J34" s="3" t="s">
        <v>29</v>
      </c>
      <c r="K34" s="4">
        <v>26.25</v>
      </c>
      <c r="L34" s="3" t="s">
        <v>21</v>
      </c>
      <c r="M34" s="2" t="s">
        <v>22</v>
      </c>
      <c r="N34" s="2" t="s">
        <v>73</v>
      </c>
      <c r="O34" s="2" t="s">
        <v>21</v>
      </c>
      <c r="P34" s="6">
        <f>T_CURSOS[[#This Row],[IMPORTE PROFESOR]]+T_CURSOS[[#This Row],[IMPORTE COMERCIAL]]</f>
        <v>206.25</v>
      </c>
      <c r="Q34" s="6">
        <f>T_CURSOS[[#This Row],[IMPORTE CLIENTE]]-T_CURSOS[[#This Row],[GASTO]]</f>
        <v>168.75</v>
      </c>
      <c r="R34" s="7">
        <f>T_CURSOS[[#This Row],[BENEFICIO]]/T_CURSOS[[#This Row],[IMPORTE CLIENTE]]</f>
        <v>0.45</v>
      </c>
    </row>
    <row r="35" spans="1:18" x14ac:dyDescent="0.2">
      <c r="A35" s="2" t="s">
        <v>85</v>
      </c>
      <c r="B35" s="3" t="s">
        <v>16</v>
      </c>
      <c r="C35" s="3">
        <v>20</v>
      </c>
      <c r="D35" s="3" t="s">
        <v>38</v>
      </c>
      <c r="E35" s="4">
        <v>500</v>
      </c>
      <c r="F35" s="3" t="s">
        <v>44</v>
      </c>
      <c r="G35" s="4">
        <v>240</v>
      </c>
      <c r="H35" s="5">
        <v>44034</v>
      </c>
      <c r="I35" s="5" t="s">
        <v>57</v>
      </c>
      <c r="J35" s="3" t="s">
        <v>36</v>
      </c>
      <c r="K35" s="4">
        <v>35</v>
      </c>
      <c r="L35" s="3" t="s">
        <v>41</v>
      </c>
      <c r="M35" s="2" t="s">
        <v>30</v>
      </c>
      <c r="N35" s="2" t="s">
        <v>31</v>
      </c>
      <c r="O35" s="2" t="s">
        <v>21</v>
      </c>
      <c r="P35" s="6">
        <f>T_CURSOS[[#This Row],[IMPORTE PROFESOR]]+T_CURSOS[[#This Row],[IMPORTE COMERCIAL]]</f>
        <v>275</v>
      </c>
      <c r="Q35" s="6">
        <f>T_CURSOS[[#This Row],[IMPORTE CLIENTE]]-T_CURSOS[[#This Row],[GASTO]]</f>
        <v>225</v>
      </c>
      <c r="R35" s="7">
        <f>T_CURSOS[[#This Row],[BENEFICIO]]/T_CURSOS[[#This Row],[IMPORTE CLIENTE]]</f>
        <v>0.45</v>
      </c>
    </row>
    <row r="36" spans="1:18" x14ac:dyDescent="0.2">
      <c r="A36" s="2" t="s">
        <v>86</v>
      </c>
      <c r="B36" s="3" t="s">
        <v>25</v>
      </c>
      <c r="C36" s="3">
        <v>25</v>
      </c>
      <c r="D36" s="3" t="s">
        <v>51</v>
      </c>
      <c r="E36" s="4">
        <v>750</v>
      </c>
      <c r="F36" s="3" t="s">
        <v>27</v>
      </c>
      <c r="G36" s="4">
        <v>300</v>
      </c>
      <c r="H36" s="5">
        <v>44149</v>
      </c>
      <c r="I36" s="5" t="s">
        <v>57</v>
      </c>
      <c r="J36" s="3" t="s">
        <v>40</v>
      </c>
      <c r="K36" s="4">
        <v>60</v>
      </c>
      <c r="L36" s="3" t="s">
        <v>41</v>
      </c>
      <c r="M36" s="2" t="s">
        <v>45</v>
      </c>
      <c r="N36" s="2" t="s">
        <v>82</v>
      </c>
      <c r="O36" s="2" t="s">
        <v>41</v>
      </c>
      <c r="P36" s="6">
        <f>T_CURSOS[[#This Row],[IMPORTE PROFESOR]]+T_CURSOS[[#This Row],[IMPORTE COMERCIAL]]</f>
        <v>360</v>
      </c>
      <c r="Q36" s="6">
        <f>T_CURSOS[[#This Row],[IMPORTE CLIENTE]]-T_CURSOS[[#This Row],[GASTO]]</f>
        <v>390</v>
      </c>
      <c r="R36" s="7">
        <f>T_CURSOS[[#This Row],[BENEFICIO]]/T_CURSOS[[#This Row],[IMPORTE CLIENTE]]</f>
        <v>0.52</v>
      </c>
    </row>
    <row r="37" spans="1:18" x14ac:dyDescent="0.2">
      <c r="A37" s="2" t="s">
        <v>87</v>
      </c>
      <c r="B37" s="3" t="s">
        <v>25</v>
      </c>
      <c r="C37" s="3">
        <v>30</v>
      </c>
      <c r="D37" s="3" t="s">
        <v>34</v>
      </c>
      <c r="E37" s="4">
        <v>900</v>
      </c>
      <c r="F37" s="3" t="s">
        <v>35</v>
      </c>
      <c r="G37" s="4">
        <v>360</v>
      </c>
      <c r="H37" s="5">
        <v>43777</v>
      </c>
      <c r="I37" s="5" t="s">
        <v>57</v>
      </c>
      <c r="J37" s="3" t="s">
        <v>20</v>
      </c>
      <c r="K37" s="4">
        <v>72</v>
      </c>
      <c r="L37" s="3" t="s">
        <v>41</v>
      </c>
      <c r="M37" s="2" t="s">
        <v>22</v>
      </c>
      <c r="N37" s="2" t="s">
        <v>73</v>
      </c>
      <c r="O37" s="2" t="s">
        <v>41</v>
      </c>
      <c r="P37" s="6">
        <f>T_CURSOS[[#This Row],[IMPORTE PROFESOR]]+T_CURSOS[[#This Row],[IMPORTE COMERCIAL]]</f>
        <v>432</v>
      </c>
      <c r="Q37" s="6">
        <f>T_CURSOS[[#This Row],[IMPORTE CLIENTE]]-T_CURSOS[[#This Row],[GASTO]]</f>
        <v>468</v>
      </c>
      <c r="R37" s="7">
        <f>T_CURSOS[[#This Row],[BENEFICIO]]/T_CURSOS[[#This Row],[IMPORTE CLIENTE]]</f>
        <v>0.52</v>
      </c>
    </row>
    <row r="38" spans="1:18" x14ac:dyDescent="0.2">
      <c r="A38" s="2" t="s">
        <v>88</v>
      </c>
      <c r="B38" s="3" t="s">
        <v>25</v>
      </c>
      <c r="C38" s="3">
        <v>40</v>
      </c>
      <c r="D38" s="3" t="s">
        <v>56</v>
      </c>
      <c r="E38" s="4">
        <v>1200</v>
      </c>
      <c r="F38" s="3" t="s">
        <v>39</v>
      </c>
      <c r="G38" s="4">
        <v>480</v>
      </c>
      <c r="H38" s="5">
        <v>43498</v>
      </c>
      <c r="I38" s="5" t="s">
        <v>28</v>
      </c>
      <c r="J38" s="3" t="s">
        <v>29</v>
      </c>
      <c r="K38" s="4">
        <v>96</v>
      </c>
      <c r="L38" s="3" t="s">
        <v>21</v>
      </c>
      <c r="M38" s="2" t="s">
        <v>22</v>
      </c>
      <c r="N38" s="2" t="s">
        <v>73</v>
      </c>
      <c r="O38" s="2" t="s">
        <v>21</v>
      </c>
      <c r="P38" s="6">
        <f>T_CURSOS[[#This Row],[IMPORTE PROFESOR]]+T_CURSOS[[#This Row],[IMPORTE COMERCIAL]]</f>
        <v>576</v>
      </c>
      <c r="Q38" s="6">
        <f>T_CURSOS[[#This Row],[IMPORTE CLIENTE]]-T_CURSOS[[#This Row],[GASTO]]</f>
        <v>624</v>
      </c>
      <c r="R38" s="7">
        <f>T_CURSOS[[#This Row],[BENEFICIO]]/T_CURSOS[[#This Row],[IMPORTE CLIENTE]]</f>
        <v>0.52</v>
      </c>
    </row>
    <row r="39" spans="1:18" x14ac:dyDescent="0.2">
      <c r="A39" s="2" t="s">
        <v>89</v>
      </c>
      <c r="B39" s="3" t="s">
        <v>53</v>
      </c>
      <c r="C39" s="3">
        <v>35</v>
      </c>
      <c r="D39" s="3" t="s">
        <v>43</v>
      </c>
      <c r="E39" s="4">
        <v>875</v>
      </c>
      <c r="F39" s="3" t="s">
        <v>44</v>
      </c>
      <c r="G39" s="4">
        <v>420</v>
      </c>
      <c r="H39" s="5">
        <v>44282</v>
      </c>
      <c r="I39" s="5" t="s">
        <v>28</v>
      </c>
      <c r="J39" s="3" t="s">
        <v>36</v>
      </c>
      <c r="K39" s="4">
        <v>43.75</v>
      </c>
      <c r="L39" s="3" t="s">
        <v>41</v>
      </c>
      <c r="M39" s="2" t="s">
        <v>45</v>
      </c>
      <c r="N39" s="2" t="s">
        <v>46</v>
      </c>
      <c r="O39" s="2" t="s">
        <v>21</v>
      </c>
      <c r="P39" s="6">
        <f>T_CURSOS[[#This Row],[IMPORTE PROFESOR]]+T_CURSOS[[#This Row],[IMPORTE COMERCIAL]]</f>
        <v>463.75</v>
      </c>
      <c r="Q39" s="6">
        <f>T_CURSOS[[#This Row],[IMPORTE CLIENTE]]-T_CURSOS[[#This Row],[GASTO]]</f>
        <v>411.25</v>
      </c>
      <c r="R39" s="7">
        <f>T_CURSOS[[#This Row],[BENEFICIO]]/T_CURSOS[[#This Row],[IMPORTE CLIENTE]]</f>
        <v>0.47</v>
      </c>
    </row>
    <row r="40" spans="1:18" x14ac:dyDescent="0.2">
      <c r="A40" s="2" t="s">
        <v>90</v>
      </c>
      <c r="B40" s="3" t="s">
        <v>55</v>
      </c>
      <c r="C40" s="3">
        <v>45</v>
      </c>
      <c r="D40" s="3" t="s">
        <v>51</v>
      </c>
      <c r="E40" s="4">
        <v>1125</v>
      </c>
      <c r="F40" s="3" t="s">
        <v>27</v>
      </c>
      <c r="G40" s="4">
        <v>540</v>
      </c>
      <c r="H40" s="5">
        <v>44046</v>
      </c>
      <c r="I40" s="5" t="s">
        <v>28</v>
      </c>
      <c r="J40" s="3" t="s">
        <v>20</v>
      </c>
      <c r="K40" s="4">
        <v>56.25</v>
      </c>
      <c r="L40" s="3" t="s">
        <v>21</v>
      </c>
      <c r="M40" s="2" t="s">
        <v>45</v>
      </c>
      <c r="N40" s="2" t="s">
        <v>46</v>
      </c>
      <c r="O40" s="2" t="s">
        <v>41</v>
      </c>
      <c r="P40" s="6">
        <f>T_CURSOS[[#This Row],[IMPORTE PROFESOR]]+T_CURSOS[[#This Row],[IMPORTE COMERCIAL]]</f>
        <v>596.25</v>
      </c>
      <c r="Q40" s="6">
        <f>T_CURSOS[[#This Row],[IMPORTE CLIENTE]]-T_CURSOS[[#This Row],[GASTO]]</f>
        <v>528.75</v>
      </c>
      <c r="R40" s="7">
        <f>T_CURSOS[[#This Row],[BENEFICIO]]/T_CURSOS[[#This Row],[IMPORTE CLIENTE]]</f>
        <v>0.47</v>
      </c>
    </row>
    <row r="41" spans="1:18" x14ac:dyDescent="0.2">
      <c r="A41" s="2" t="s">
        <v>91</v>
      </c>
      <c r="B41" s="3" t="s">
        <v>55</v>
      </c>
      <c r="C41" s="3">
        <v>18</v>
      </c>
      <c r="D41" s="3" t="s">
        <v>61</v>
      </c>
      <c r="E41" s="4">
        <v>450</v>
      </c>
      <c r="F41" s="3" t="s">
        <v>35</v>
      </c>
      <c r="G41" s="4">
        <v>216</v>
      </c>
      <c r="H41" s="5">
        <v>44349</v>
      </c>
      <c r="I41" s="5" t="s">
        <v>28</v>
      </c>
      <c r="J41" s="3" t="s">
        <v>29</v>
      </c>
      <c r="K41" s="4">
        <v>22.5</v>
      </c>
      <c r="L41" s="3" t="s">
        <v>21</v>
      </c>
      <c r="M41" s="2" t="s">
        <v>22</v>
      </c>
      <c r="N41" s="2" t="s">
        <v>73</v>
      </c>
      <c r="O41" s="2" t="s">
        <v>21</v>
      </c>
      <c r="P41" s="6">
        <f>T_CURSOS[[#This Row],[IMPORTE PROFESOR]]+T_CURSOS[[#This Row],[IMPORTE COMERCIAL]]</f>
        <v>238.5</v>
      </c>
      <c r="Q41" s="6">
        <f>T_CURSOS[[#This Row],[IMPORTE CLIENTE]]-T_CURSOS[[#This Row],[GASTO]]</f>
        <v>211.5</v>
      </c>
      <c r="R41" s="7">
        <f>T_CURSOS[[#This Row],[BENEFICIO]]/T_CURSOS[[#This Row],[IMPORTE CLIENTE]]</f>
        <v>0.47</v>
      </c>
    </row>
    <row r="42" spans="1:18" x14ac:dyDescent="0.2">
      <c r="A42" s="2" t="s">
        <v>92</v>
      </c>
      <c r="B42" s="3" t="s">
        <v>55</v>
      </c>
      <c r="C42" s="3">
        <v>10</v>
      </c>
      <c r="D42" s="3" t="s">
        <v>38</v>
      </c>
      <c r="E42" s="4">
        <v>250</v>
      </c>
      <c r="F42" s="3" t="s">
        <v>18</v>
      </c>
      <c r="G42" s="4">
        <v>120</v>
      </c>
      <c r="H42" s="5">
        <v>44403</v>
      </c>
      <c r="I42" s="5" t="s">
        <v>57</v>
      </c>
      <c r="J42" s="3" t="s">
        <v>36</v>
      </c>
      <c r="K42" s="4">
        <v>12.5</v>
      </c>
      <c r="L42" s="3" t="s">
        <v>21</v>
      </c>
      <c r="M42" s="2" t="s">
        <v>30</v>
      </c>
      <c r="N42" s="2" t="s">
        <v>31</v>
      </c>
      <c r="O42" s="2" t="s">
        <v>21</v>
      </c>
      <c r="P42" s="6">
        <f>T_CURSOS[[#This Row],[IMPORTE PROFESOR]]+T_CURSOS[[#This Row],[IMPORTE COMERCIAL]]</f>
        <v>132.5</v>
      </c>
      <c r="Q42" s="6">
        <f>T_CURSOS[[#This Row],[IMPORTE CLIENTE]]-T_CURSOS[[#This Row],[GASTO]]</f>
        <v>117.5</v>
      </c>
      <c r="R42" s="7">
        <f>T_CURSOS[[#This Row],[BENEFICIO]]/T_CURSOS[[#This Row],[IMPORTE CLIENTE]]</f>
        <v>0.47</v>
      </c>
    </row>
    <row r="43" spans="1:18" x14ac:dyDescent="0.2">
      <c r="A43" s="2" t="s">
        <v>93</v>
      </c>
      <c r="B43" s="3" t="s">
        <v>53</v>
      </c>
      <c r="C43" s="3">
        <v>12</v>
      </c>
      <c r="D43" s="3" t="s">
        <v>43</v>
      </c>
      <c r="E43" s="4">
        <v>300</v>
      </c>
      <c r="F43" s="3" t="s">
        <v>27</v>
      </c>
      <c r="G43" s="4">
        <v>144</v>
      </c>
      <c r="H43" s="5">
        <v>44369</v>
      </c>
      <c r="I43" s="5" t="s">
        <v>57</v>
      </c>
      <c r="J43" s="3" t="s">
        <v>40</v>
      </c>
      <c r="K43" s="4">
        <v>15</v>
      </c>
      <c r="L43" s="3" t="s">
        <v>21</v>
      </c>
      <c r="M43" s="2" t="s">
        <v>45</v>
      </c>
      <c r="N43" s="2" t="s">
        <v>46</v>
      </c>
      <c r="O43" s="2" t="s">
        <v>21</v>
      </c>
      <c r="P43" s="6">
        <f>T_CURSOS[[#This Row],[IMPORTE PROFESOR]]+T_CURSOS[[#This Row],[IMPORTE COMERCIAL]]</f>
        <v>159</v>
      </c>
      <c r="Q43" s="6">
        <f>T_CURSOS[[#This Row],[IMPORTE CLIENTE]]-T_CURSOS[[#This Row],[GASTO]]</f>
        <v>141</v>
      </c>
      <c r="R43" s="7">
        <f>T_CURSOS[[#This Row],[BENEFICIO]]/T_CURSOS[[#This Row],[IMPORTE CLIENTE]]</f>
        <v>0.47</v>
      </c>
    </row>
    <row r="44" spans="1:18" x14ac:dyDescent="0.2">
      <c r="A44" s="2" t="s">
        <v>94</v>
      </c>
      <c r="B44" s="3" t="s">
        <v>63</v>
      </c>
      <c r="C44" s="3">
        <v>15</v>
      </c>
      <c r="D44" s="3" t="s">
        <v>51</v>
      </c>
      <c r="E44" s="4">
        <v>1125</v>
      </c>
      <c r="F44" s="3" t="s">
        <v>35</v>
      </c>
      <c r="G44" s="4">
        <v>180</v>
      </c>
      <c r="H44" s="5">
        <v>44504</v>
      </c>
      <c r="I44" s="5" t="s">
        <v>57</v>
      </c>
      <c r="J44" s="3" t="s">
        <v>20</v>
      </c>
      <c r="K44" s="4">
        <v>168.75</v>
      </c>
      <c r="L44" s="3" t="s">
        <v>21</v>
      </c>
      <c r="M44" s="2" t="s">
        <v>45</v>
      </c>
      <c r="N44" s="2" t="s">
        <v>82</v>
      </c>
      <c r="O44" s="2" t="s">
        <v>21</v>
      </c>
      <c r="P44" s="6">
        <f>T_CURSOS[[#This Row],[IMPORTE PROFESOR]]+T_CURSOS[[#This Row],[IMPORTE COMERCIAL]]</f>
        <v>348.75</v>
      </c>
      <c r="Q44" s="6">
        <f>T_CURSOS[[#This Row],[IMPORTE CLIENTE]]-T_CURSOS[[#This Row],[GASTO]]</f>
        <v>776.25</v>
      </c>
      <c r="R44" s="7">
        <f>T_CURSOS[[#This Row],[BENEFICIO]]/T_CURSOS[[#This Row],[IMPORTE CLIENTE]]</f>
        <v>0.69</v>
      </c>
    </row>
    <row r="45" spans="1:18" x14ac:dyDescent="0.2">
      <c r="A45" s="2" t="s">
        <v>95</v>
      </c>
      <c r="B45" s="3" t="s">
        <v>65</v>
      </c>
      <c r="C45" s="3">
        <v>25</v>
      </c>
      <c r="D45" s="3" t="s">
        <v>34</v>
      </c>
      <c r="E45" s="4">
        <v>1500</v>
      </c>
      <c r="F45" s="3" t="s">
        <v>39</v>
      </c>
      <c r="G45" s="4">
        <v>300</v>
      </c>
      <c r="H45" s="5">
        <v>44147</v>
      </c>
      <c r="I45" s="5" t="s">
        <v>57</v>
      </c>
      <c r="J45" s="3" t="s">
        <v>29</v>
      </c>
      <c r="K45" s="4">
        <v>180</v>
      </c>
      <c r="L45" s="3" t="s">
        <v>21</v>
      </c>
      <c r="M45" s="2" t="s">
        <v>22</v>
      </c>
      <c r="N45" s="2" t="s">
        <v>73</v>
      </c>
      <c r="O45" s="2" t="s">
        <v>21</v>
      </c>
      <c r="P45" s="6">
        <f>T_CURSOS[[#This Row],[IMPORTE PROFESOR]]+T_CURSOS[[#This Row],[IMPORTE COMERCIAL]]</f>
        <v>480</v>
      </c>
      <c r="Q45" s="6">
        <f>T_CURSOS[[#This Row],[IMPORTE CLIENTE]]-T_CURSOS[[#This Row],[GASTO]]</f>
        <v>1020</v>
      </c>
      <c r="R45" s="7">
        <f>T_CURSOS[[#This Row],[BENEFICIO]]/T_CURSOS[[#This Row],[IMPORTE CLIENTE]]</f>
        <v>0.68</v>
      </c>
    </row>
    <row r="46" spans="1:18" x14ac:dyDescent="0.2">
      <c r="A46" s="2" t="s">
        <v>96</v>
      </c>
      <c r="B46" s="3" t="s">
        <v>65</v>
      </c>
      <c r="C46" s="3">
        <v>15</v>
      </c>
      <c r="D46" s="3" t="s">
        <v>56</v>
      </c>
      <c r="E46" s="4">
        <v>900</v>
      </c>
      <c r="F46" s="3" t="s">
        <v>44</v>
      </c>
      <c r="G46" s="4">
        <v>180</v>
      </c>
      <c r="H46" s="5">
        <v>43646</v>
      </c>
      <c r="I46" s="5" t="s">
        <v>57</v>
      </c>
      <c r="J46" s="3" t="s">
        <v>36</v>
      </c>
      <c r="K46" s="4">
        <v>108</v>
      </c>
      <c r="L46" s="3" t="s">
        <v>21</v>
      </c>
      <c r="M46" s="2" t="s">
        <v>22</v>
      </c>
      <c r="N46" s="2" t="s">
        <v>73</v>
      </c>
      <c r="O46" s="2" t="s">
        <v>21</v>
      </c>
      <c r="P46" s="6">
        <f>T_CURSOS[[#This Row],[IMPORTE PROFESOR]]+T_CURSOS[[#This Row],[IMPORTE COMERCIAL]]</f>
        <v>288</v>
      </c>
      <c r="Q46" s="6">
        <f>T_CURSOS[[#This Row],[IMPORTE CLIENTE]]-T_CURSOS[[#This Row],[GASTO]]</f>
        <v>612</v>
      </c>
      <c r="R46" s="7">
        <f>T_CURSOS[[#This Row],[BENEFICIO]]/T_CURSOS[[#This Row],[IMPORTE CLIENTE]]</f>
        <v>0.68</v>
      </c>
    </row>
    <row r="47" spans="1:18" x14ac:dyDescent="0.2">
      <c r="A47" s="2" t="s">
        <v>97</v>
      </c>
      <c r="B47" s="3" t="s">
        <v>65</v>
      </c>
      <c r="C47" s="3">
        <v>10</v>
      </c>
      <c r="D47" s="3" t="s">
        <v>56</v>
      </c>
      <c r="E47" s="4">
        <v>600</v>
      </c>
      <c r="F47" s="3" t="s">
        <v>27</v>
      </c>
      <c r="G47" s="4">
        <v>120</v>
      </c>
      <c r="H47" s="5">
        <v>43628</v>
      </c>
      <c r="I47" s="5" t="s">
        <v>28</v>
      </c>
      <c r="J47" s="3" t="s">
        <v>40</v>
      </c>
      <c r="K47" s="4">
        <v>72</v>
      </c>
      <c r="L47" s="3" t="s">
        <v>21</v>
      </c>
      <c r="M47" s="2" t="s">
        <v>22</v>
      </c>
      <c r="N47" s="2" t="s">
        <v>73</v>
      </c>
      <c r="O47" s="2" t="s">
        <v>21</v>
      </c>
      <c r="P47" s="6">
        <f>T_CURSOS[[#This Row],[IMPORTE PROFESOR]]+T_CURSOS[[#This Row],[IMPORTE COMERCIAL]]</f>
        <v>192</v>
      </c>
      <c r="Q47" s="6">
        <f>T_CURSOS[[#This Row],[IMPORTE CLIENTE]]-T_CURSOS[[#This Row],[GASTO]]</f>
        <v>408</v>
      </c>
      <c r="R47" s="7">
        <f>T_CURSOS[[#This Row],[BENEFICIO]]/T_CURSOS[[#This Row],[IMPORTE CLIENTE]]</f>
        <v>0.68</v>
      </c>
    </row>
    <row r="48" spans="1:18" x14ac:dyDescent="0.2">
      <c r="A48" s="2" t="s">
        <v>98</v>
      </c>
      <c r="B48" s="3" t="s">
        <v>33</v>
      </c>
      <c r="C48" s="3">
        <v>12</v>
      </c>
      <c r="D48" s="3" t="s">
        <v>51</v>
      </c>
      <c r="E48" s="4">
        <v>480</v>
      </c>
      <c r="F48" s="3" t="s">
        <v>35</v>
      </c>
      <c r="G48" s="4">
        <v>144</v>
      </c>
      <c r="H48" s="5">
        <v>44160</v>
      </c>
      <c r="I48" s="5" t="s">
        <v>57</v>
      </c>
      <c r="J48" s="3" t="s">
        <v>29</v>
      </c>
      <c r="K48" s="4">
        <v>48</v>
      </c>
      <c r="L48" s="3" t="s">
        <v>21</v>
      </c>
      <c r="M48" s="2" t="s">
        <v>45</v>
      </c>
      <c r="N48" s="2" t="s">
        <v>46</v>
      </c>
      <c r="O48" s="2" t="s">
        <v>21</v>
      </c>
      <c r="P48" s="6">
        <f>T_CURSOS[[#This Row],[IMPORTE PROFESOR]]+T_CURSOS[[#This Row],[IMPORTE COMERCIAL]]</f>
        <v>192</v>
      </c>
      <c r="Q48" s="6">
        <f>T_CURSOS[[#This Row],[IMPORTE CLIENTE]]-T_CURSOS[[#This Row],[GASTO]]</f>
        <v>288</v>
      </c>
      <c r="R48" s="7">
        <f>T_CURSOS[[#This Row],[BENEFICIO]]/T_CURSOS[[#This Row],[IMPORTE CLIENTE]]</f>
        <v>0.6</v>
      </c>
    </row>
    <row r="49" spans="1:18" x14ac:dyDescent="0.2">
      <c r="A49" s="2" t="s">
        <v>99</v>
      </c>
      <c r="B49" s="3" t="s">
        <v>33</v>
      </c>
      <c r="C49" s="3">
        <v>15</v>
      </c>
      <c r="D49" s="3" t="s">
        <v>43</v>
      </c>
      <c r="E49" s="4">
        <v>600</v>
      </c>
      <c r="F49" s="3" t="s">
        <v>39</v>
      </c>
      <c r="G49" s="4">
        <v>180</v>
      </c>
      <c r="H49" s="5">
        <v>43473</v>
      </c>
      <c r="I49" s="5" t="s">
        <v>57</v>
      </c>
      <c r="J49" s="3" t="s">
        <v>36</v>
      </c>
      <c r="K49" s="4">
        <v>60</v>
      </c>
      <c r="L49" s="3" t="s">
        <v>21</v>
      </c>
      <c r="M49" s="2" t="s">
        <v>45</v>
      </c>
      <c r="N49" s="2" t="s">
        <v>46</v>
      </c>
      <c r="O49" s="2" t="s">
        <v>21</v>
      </c>
      <c r="P49" s="6">
        <f>T_CURSOS[[#This Row],[IMPORTE PROFESOR]]+T_CURSOS[[#This Row],[IMPORTE COMERCIAL]]</f>
        <v>240</v>
      </c>
      <c r="Q49" s="6">
        <f>T_CURSOS[[#This Row],[IMPORTE CLIENTE]]-T_CURSOS[[#This Row],[GASTO]]</f>
        <v>360</v>
      </c>
      <c r="R49" s="7">
        <f>T_CURSOS[[#This Row],[BENEFICIO]]/T_CURSOS[[#This Row],[IMPORTE CLIENTE]]</f>
        <v>0.6</v>
      </c>
    </row>
    <row r="50" spans="1:18" x14ac:dyDescent="0.2">
      <c r="A50" s="2" t="s">
        <v>100</v>
      </c>
      <c r="B50" s="3" t="s">
        <v>33</v>
      </c>
      <c r="C50" s="3">
        <v>25</v>
      </c>
      <c r="D50" s="3" t="s">
        <v>61</v>
      </c>
      <c r="E50" s="4">
        <v>1000</v>
      </c>
      <c r="F50" s="3" t="s">
        <v>18</v>
      </c>
      <c r="G50" s="4">
        <v>300</v>
      </c>
      <c r="H50" s="5">
        <v>43647</v>
      </c>
      <c r="I50" s="5" t="s">
        <v>57</v>
      </c>
      <c r="J50" s="3" t="s">
        <v>40</v>
      </c>
      <c r="K50" s="4">
        <v>100</v>
      </c>
      <c r="L50" s="3" t="s">
        <v>21</v>
      </c>
      <c r="M50" s="2" t="s">
        <v>22</v>
      </c>
      <c r="N50" s="2" t="s">
        <v>101</v>
      </c>
      <c r="O50" s="2" t="s">
        <v>41</v>
      </c>
      <c r="P50" s="6">
        <f>T_CURSOS[[#This Row],[IMPORTE PROFESOR]]+T_CURSOS[[#This Row],[IMPORTE COMERCIAL]]</f>
        <v>400</v>
      </c>
      <c r="Q50" s="6">
        <f>T_CURSOS[[#This Row],[IMPORTE CLIENTE]]-T_CURSOS[[#This Row],[GASTO]]</f>
        <v>600</v>
      </c>
      <c r="R50" s="7">
        <f>T_CURSOS[[#This Row],[BENEFICIO]]/T_CURSOS[[#This Row],[IMPORTE CLIENTE]]</f>
        <v>0.6</v>
      </c>
    </row>
    <row r="51" spans="1:18" x14ac:dyDescent="0.2">
      <c r="A51" s="2" t="s">
        <v>102</v>
      </c>
      <c r="B51" s="3" t="s">
        <v>33</v>
      </c>
      <c r="C51" s="3">
        <v>15</v>
      </c>
      <c r="D51" s="3" t="s">
        <v>17</v>
      </c>
      <c r="E51" s="4">
        <v>600</v>
      </c>
      <c r="F51" s="3" t="s">
        <v>27</v>
      </c>
      <c r="G51" s="4">
        <v>180</v>
      </c>
      <c r="H51" s="5">
        <v>44207</v>
      </c>
      <c r="I51" s="5" t="s">
        <v>28</v>
      </c>
      <c r="J51" s="3" t="s">
        <v>20</v>
      </c>
      <c r="K51" s="4">
        <v>60</v>
      </c>
      <c r="L51" s="3" t="s">
        <v>21</v>
      </c>
      <c r="M51" s="2" t="s">
        <v>22</v>
      </c>
      <c r="N51" s="2" t="s">
        <v>101</v>
      </c>
      <c r="O51" s="2" t="s">
        <v>41</v>
      </c>
      <c r="P51" s="6">
        <f>T_CURSOS[[#This Row],[IMPORTE PROFESOR]]+T_CURSOS[[#This Row],[IMPORTE COMERCIAL]]</f>
        <v>240</v>
      </c>
      <c r="Q51" s="6">
        <f>T_CURSOS[[#This Row],[IMPORTE CLIENTE]]-T_CURSOS[[#This Row],[GASTO]]</f>
        <v>360</v>
      </c>
      <c r="R51" s="7">
        <f>T_CURSOS[[#This Row],[BENEFICIO]]/T_CURSOS[[#This Row],[IMPORTE CLIENTE]]</f>
        <v>0.6</v>
      </c>
    </row>
    <row r="52" spans="1:18" x14ac:dyDescent="0.2">
      <c r="A52" s="2" t="s">
        <v>103</v>
      </c>
      <c r="B52" s="3" t="s">
        <v>25</v>
      </c>
      <c r="C52" s="3">
        <v>20</v>
      </c>
      <c r="D52" s="3" t="s">
        <v>26</v>
      </c>
      <c r="E52" s="4">
        <v>600</v>
      </c>
      <c r="F52" s="3" t="s">
        <v>35</v>
      </c>
      <c r="G52" s="4">
        <v>240</v>
      </c>
      <c r="H52" s="5">
        <v>44440</v>
      </c>
      <c r="I52" s="5" t="s">
        <v>28</v>
      </c>
      <c r="J52" s="3" t="s">
        <v>20</v>
      </c>
      <c r="K52" s="4">
        <v>48</v>
      </c>
      <c r="L52" s="3" t="s">
        <v>21</v>
      </c>
      <c r="M52" s="2" t="s">
        <v>30</v>
      </c>
      <c r="N52" s="2" t="s">
        <v>104</v>
      </c>
      <c r="O52" s="2" t="s">
        <v>41</v>
      </c>
      <c r="P52" s="6">
        <f>T_CURSOS[[#This Row],[IMPORTE PROFESOR]]+T_CURSOS[[#This Row],[IMPORTE COMERCIAL]]</f>
        <v>288</v>
      </c>
      <c r="Q52" s="6">
        <f>T_CURSOS[[#This Row],[IMPORTE CLIENTE]]-T_CURSOS[[#This Row],[GASTO]]</f>
        <v>312</v>
      </c>
      <c r="R52" s="7">
        <f>T_CURSOS[[#This Row],[BENEFICIO]]/T_CURSOS[[#This Row],[IMPORTE CLIENTE]]</f>
        <v>0.52</v>
      </c>
    </row>
    <row r="53" spans="1:18" x14ac:dyDescent="0.2">
      <c r="A53" s="2" t="s">
        <v>105</v>
      </c>
      <c r="B53" s="3" t="s">
        <v>25</v>
      </c>
      <c r="C53" s="3">
        <v>20</v>
      </c>
      <c r="D53" s="3" t="s">
        <v>34</v>
      </c>
      <c r="E53" s="4">
        <v>600</v>
      </c>
      <c r="F53" s="3" t="s">
        <v>39</v>
      </c>
      <c r="G53" s="4">
        <v>240</v>
      </c>
      <c r="H53" s="5">
        <v>43740</v>
      </c>
      <c r="I53" s="5" t="s">
        <v>28</v>
      </c>
      <c r="J53" s="3" t="s">
        <v>29</v>
      </c>
      <c r="K53" s="4">
        <v>48</v>
      </c>
      <c r="L53" s="3" t="s">
        <v>21</v>
      </c>
      <c r="M53" s="2" t="s">
        <v>22</v>
      </c>
      <c r="N53" s="2" t="s">
        <v>101</v>
      </c>
      <c r="O53" s="2" t="s">
        <v>21</v>
      </c>
      <c r="P53" s="6">
        <f>T_CURSOS[[#This Row],[IMPORTE PROFESOR]]+T_CURSOS[[#This Row],[IMPORTE COMERCIAL]]</f>
        <v>288</v>
      </c>
      <c r="Q53" s="6">
        <f>T_CURSOS[[#This Row],[IMPORTE CLIENTE]]-T_CURSOS[[#This Row],[GASTO]]</f>
        <v>312</v>
      </c>
      <c r="R53" s="7">
        <f>T_CURSOS[[#This Row],[BENEFICIO]]/T_CURSOS[[#This Row],[IMPORTE CLIENTE]]</f>
        <v>0.52</v>
      </c>
    </row>
    <row r="54" spans="1:18" x14ac:dyDescent="0.2">
      <c r="A54" s="2" t="s">
        <v>106</v>
      </c>
      <c r="B54" s="3" t="s">
        <v>25</v>
      </c>
      <c r="C54" s="3">
        <v>30</v>
      </c>
      <c r="D54" s="3" t="s">
        <v>38</v>
      </c>
      <c r="E54" s="4">
        <v>900</v>
      </c>
      <c r="F54" s="3" t="s">
        <v>44</v>
      </c>
      <c r="G54" s="4">
        <v>360</v>
      </c>
      <c r="H54" s="5">
        <v>43506</v>
      </c>
      <c r="I54" s="5" t="s">
        <v>28</v>
      </c>
      <c r="J54" s="3" t="s">
        <v>36</v>
      </c>
      <c r="K54" s="4">
        <v>72</v>
      </c>
      <c r="L54" s="3" t="s">
        <v>21</v>
      </c>
      <c r="M54" s="2" t="s">
        <v>30</v>
      </c>
      <c r="N54" s="2" t="s">
        <v>104</v>
      </c>
      <c r="O54" s="2" t="s">
        <v>21</v>
      </c>
      <c r="P54" s="6">
        <f>T_CURSOS[[#This Row],[IMPORTE PROFESOR]]+T_CURSOS[[#This Row],[IMPORTE COMERCIAL]]</f>
        <v>432</v>
      </c>
      <c r="Q54" s="6">
        <f>T_CURSOS[[#This Row],[IMPORTE CLIENTE]]-T_CURSOS[[#This Row],[GASTO]]</f>
        <v>468</v>
      </c>
      <c r="R54" s="7">
        <f>T_CURSOS[[#This Row],[BENEFICIO]]/T_CURSOS[[#This Row],[IMPORTE CLIENTE]]</f>
        <v>0.52</v>
      </c>
    </row>
    <row r="55" spans="1:18" x14ac:dyDescent="0.2">
      <c r="A55" s="2" t="s">
        <v>107</v>
      </c>
      <c r="B55" s="3" t="s">
        <v>16</v>
      </c>
      <c r="C55" s="3">
        <v>35</v>
      </c>
      <c r="D55" s="3" t="s">
        <v>43</v>
      </c>
      <c r="E55" s="4">
        <v>875</v>
      </c>
      <c r="F55" s="3" t="s">
        <v>27</v>
      </c>
      <c r="G55" s="4">
        <v>420</v>
      </c>
      <c r="H55" s="5">
        <v>43727</v>
      </c>
      <c r="I55" s="5" t="s">
        <v>57</v>
      </c>
      <c r="J55" s="3" t="s">
        <v>40</v>
      </c>
      <c r="K55" s="4">
        <v>61.25</v>
      </c>
      <c r="L55" s="3" t="s">
        <v>41</v>
      </c>
      <c r="M55" s="2" t="s">
        <v>45</v>
      </c>
      <c r="N55" s="2" t="s">
        <v>46</v>
      </c>
      <c r="O55" s="2" t="s">
        <v>41</v>
      </c>
      <c r="P55" s="6">
        <f>T_CURSOS[[#This Row],[IMPORTE PROFESOR]]+T_CURSOS[[#This Row],[IMPORTE COMERCIAL]]</f>
        <v>481.25</v>
      </c>
      <c r="Q55" s="6">
        <f>T_CURSOS[[#This Row],[IMPORTE CLIENTE]]-T_CURSOS[[#This Row],[GASTO]]</f>
        <v>393.75</v>
      </c>
      <c r="R55" s="7">
        <f>T_CURSOS[[#This Row],[BENEFICIO]]/T_CURSOS[[#This Row],[IMPORTE CLIENTE]]</f>
        <v>0.45</v>
      </c>
    </row>
    <row r="56" spans="1:18" x14ac:dyDescent="0.2">
      <c r="A56" s="2" t="s">
        <v>108</v>
      </c>
      <c r="B56" s="3" t="s">
        <v>16</v>
      </c>
      <c r="C56" s="3">
        <v>40</v>
      </c>
      <c r="D56" s="3" t="s">
        <v>38</v>
      </c>
      <c r="E56" s="4">
        <v>1000</v>
      </c>
      <c r="F56" s="3" t="s">
        <v>35</v>
      </c>
      <c r="G56" s="4">
        <v>480</v>
      </c>
      <c r="H56" s="5">
        <v>43467</v>
      </c>
      <c r="I56" s="5" t="s">
        <v>57</v>
      </c>
      <c r="J56" s="3" t="s">
        <v>29</v>
      </c>
      <c r="K56" s="4">
        <v>70</v>
      </c>
      <c r="L56" s="3" t="s">
        <v>41</v>
      </c>
      <c r="M56" s="2" t="s">
        <v>30</v>
      </c>
      <c r="N56" s="2" t="s">
        <v>104</v>
      </c>
      <c r="O56" s="2" t="s">
        <v>21</v>
      </c>
      <c r="P56" s="6">
        <f>T_CURSOS[[#This Row],[IMPORTE PROFESOR]]+T_CURSOS[[#This Row],[IMPORTE COMERCIAL]]</f>
        <v>550</v>
      </c>
      <c r="Q56" s="6">
        <f>T_CURSOS[[#This Row],[IMPORTE CLIENTE]]-T_CURSOS[[#This Row],[GASTO]]</f>
        <v>450</v>
      </c>
      <c r="R56" s="7">
        <f>T_CURSOS[[#This Row],[BENEFICIO]]/T_CURSOS[[#This Row],[IMPORTE CLIENTE]]</f>
        <v>0.45</v>
      </c>
    </row>
    <row r="57" spans="1:18" x14ac:dyDescent="0.2">
      <c r="A57" s="2" t="s">
        <v>109</v>
      </c>
      <c r="B57" s="3" t="s">
        <v>16</v>
      </c>
      <c r="C57" s="3">
        <v>40</v>
      </c>
      <c r="D57" s="3" t="s">
        <v>34</v>
      </c>
      <c r="E57" s="4">
        <v>1000</v>
      </c>
      <c r="F57" s="3" t="s">
        <v>39</v>
      </c>
      <c r="G57" s="4">
        <v>480</v>
      </c>
      <c r="H57" s="5">
        <v>43821</v>
      </c>
      <c r="I57" s="5" t="s">
        <v>57</v>
      </c>
      <c r="J57" s="3" t="s">
        <v>36</v>
      </c>
      <c r="K57" s="4">
        <v>70</v>
      </c>
      <c r="L57" s="3" t="s">
        <v>41</v>
      </c>
      <c r="M57" s="2" t="s">
        <v>22</v>
      </c>
      <c r="N57" s="2" t="s">
        <v>101</v>
      </c>
      <c r="O57" s="2" t="s">
        <v>21</v>
      </c>
      <c r="P57" s="6">
        <f>T_CURSOS[[#This Row],[IMPORTE PROFESOR]]+T_CURSOS[[#This Row],[IMPORTE COMERCIAL]]</f>
        <v>550</v>
      </c>
      <c r="Q57" s="6">
        <f>T_CURSOS[[#This Row],[IMPORTE CLIENTE]]-T_CURSOS[[#This Row],[GASTO]]</f>
        <v>450</v>
      </c>
      <c r="R57" s="7">
        <f>T_CURSOS[[#This Row],[BENEFICIO]]/T_CURSOS[[#This Row],[IMPORTE CLIENTE]]</f>
        <v>0.45</v>
      </c>
    </row>
    <row r="58" spans="1:18" x14ac:dyDescent="0.2">
      <c r="A58" s="2" t="s">
        <v>110</v>
      </c>
      <c r="B58" s="3" t="s">
        <v>53</v>
      </c>
      <c r="C58" s="3">
        <v>35</v>
      </c>
      <c r="D58" s="3" t="s">
        <v>38</v>
      </c>
      <c r="E58" s="4">
        <v>875</v>
      </c>
      <c r="F58" s="3" t="s">
        <v>44</v>
      </c>
      <c r="G58" s="4">
        <v>420</v>
      </c>
      <c r="H58" s="5">
        <v>43817</v>
      </c>
      <c r="I58" s="5" t="s">
        <v>57</v>
      </c>
      <c r="J58" s="3" t="s">
        <v>40</v>
      </c>
      <c r="K58" s="4">
        <v>43.75</v>
      </c>
      <c r="L58" s="3" t="s">
        <v>41</v>
      </c>
      <c r="M58" s="2" t="s">
        <v>30</v>
      </c>
      <c r="N58" s="2" t="s">
        <v>31</v>
      </c>
      <c r="O58" s="2" t="s">
        <v>41</v>
      </c>
      <c r="P58" s="6">
        <f>T_CURSOS[[#This Row],[IMPORTE PROFESOR]]+T_CURSOS[[#This Row],[IMPORTE COMERCIAL]]</f>
        <v>463.75</v>
      </c>
      <c r="Q58" s="6">
        <f>T_CURSOS[[#This Row],[IMPORTE CLIENTE]]-T_CURSOS[[#This Row],[GASTO]]</f>
        <v>411.25</v>
      </c>
      <c r="R58" s="7">
        <f>T_CURSOS[[#This Row],[BENEFICIO]]/T_CURSOS[[#This Row],[IMPORTE CLIENTE]]</f>
        <v>0.47</v>
      </c>
    </row>
    <row r="59" spans="1:18" x14ac:dyDescent="0.2">
      <c r="A59" s="2" t="s">
        <v>111</v>
      </c>
      <c r="B59" s="3" t="s">
        <v>63</v>
      </c>
      <c r="C59" s="3">
        <v>45</v>
      </c>
      <c r="D59" s="3" t="s">
        <v>51</v>
      </c>
      <c r="E59" s="4">
        <v>3375</v>
      </c>
      <c r="F59" s="3" t="s">
        <v>27</v>
      </c>
      <c r="G59" s="4">
        <v>540</v>
      </c>
      <c r="H59" s="5">
        <v>44259</v>
      </c>
      <c r="I59" s="5" t="s">
        <v>57</v>
      </c>
      <c r="J59" s="3" t="s">
        <v>20</v>
      </c>
      <c r="K59" s="4">
        <v>506.25</v>
      </c>
      <c r="L59" s="3" t="s">
        <v>41</v>
      </c>
      <c r="M59" s="2" t="s">
        <v>45</v>
      </c>
      <c r="N59" s="2" t="s">
        <v>82</v>
      </c>
      <c r="O59" s="2" t="s">
        <v>21</v>
      </c>
      <c r="P59" s="6">
        <f>T_CURSOS[[#This Row],[IMPORTE PROFESOR]]+T_CURSOS[[#This Row],[IMPORTE COMERCIAL]]</f>
        <v>1046.25</v>
      </c>
      <c r="Q59" s="6">
        <f>T_CURSOS[[#This Row],[IMPORTE CLIENTE]]-T_CURSOS[[#This Row],[GASTO]]</f>
        <v>2328.75</v>
      </c>
      <c r="R59" s="7">
        <f>T_CURSOS[[#This Row],[BENEFICIO]]/T_CURSOS[[#This Row],[IMPORTE CLIENTE]]</f>
        <v>0.69</v>
      </c>
    </row>
    <row r="60" spans="1:18" x14ac:dyDescent="0.2">
      <c r="A60" s="2" t="s">
        <v>112</v>
      </c>
      <c r="B60" s="3" t="s">
        <v>65</v>
      </c>
      <c r="C60" s="3">
        <v>25</v>
      </c>
      <c r="D60" s="3" t="s">
        <v>34</v>
      </c>
      <c r="E60" s="4">
        <v>1500</v>
      </c>
      <c r="F60" s="3" t="s">
        <v>35</v>
      </c>
      <c r="G60" s="4">
        <v>300</v>
      </c>
      <c r="H60" s="5">
        <v>43829</v>
      </c>
      <c r="I60" s="5" t="s">
        <v>28</v>
      </c>
      <c r="J60" s="3" t="s">
        <v>29</v>
      </c>
      <c r="K60" s="4">
        <v>180</v>
      </c>
      <c r="L60" s="3" t="s">
        <v>41</v>
      </c>
      <c r="M60" s="2" t="s">
        <v>22</v>
      </c>
      <c r="N60" s="2" t="s">
        <v>101</v>
      </c>
      <c r="O60" s="2" t="s">
        <v>21</v>
      </c>
      <c r="P60" s="6">
        <f>T_CURSOS[[#This Row],[IMPORTE PROFESOR]]+T_CURSOS[[#This Row],[IMPORTE COMERCIAL]]</f>
        <v>480</v>
      </c>
      <c r="Q60" s="6">
        <f>T_CURSOS[[#This Row],[IMPORTE CLIENTE]]-T_CURSOS[[#This Row],[GASTO]]</f>
        <v>1020</v>
      </c>
      <c r="R60" s="7">
        <f>T_CURSOS[[#This Row],[BENEFICIO]]/T_CURSOS[[#This Row],[IMPORTE CLIENTE]]</f>
        <v>0.68</v>
      </c>
    </row>
    <row r="61" spans="1:18" x14ac:dyDescent="0.2">
      <c r="A61" s="2" t="s">
        <v>113</v>
      </c>
      <c r="B61" s="3" t="s">
        <v>65</v>
      </c>
      <c r="C61" s="3">
        <v>20</v>
      </c>
      <c r="D61" s="3" t="s">
        <v>56</v>
      </c>
      <c r="E61" s="4">
        <v>1200</v>
      </c>
      <c r="F61" s="3" t="s">
        <v>39</v>
      </c>
      <c r="G61" s="4">
        <v>240</v>
      </c>
      <c r="H61" s="5">
        <v>44144</v>
      </c>
      <c r="I61" s="5" t="s">
        <v>19</v>
      </c>
      <c r="J61" s="3" t="s">
        <v>36</v>
      </c>
      <c r="K61" s="4">
        <v>144</v>
      </c>
      <c r="L61" s="3" t="s">
        <v>21</v>
      </c>
      <c r="M61" s="2" t="s">
        <v>22</v>
      </c>
      <c r="N61" s="2" t="s">
        <v>101</v>
      </c>
      <c r="O61" s="2" t="s">
        <v>21</v>
      </c>
      <c r="P61" s="6">
        <f>T_CURSOS[[#This Row],[IMPORTE PROFESOR]]+T_CURSOS[[#This Row],[IMPORTE COMERCIAL]]</f>
        <v>384</v>
      </c>
      <c r="Q61" s="6">
        <f>T_CURSOS[[#This Row],[IMPORTE CLIENTE]]-T_CURSOS[[#This Row],[GASTO]]</f>
        <v>816</v>
      </c>
      <c r="R61" s="7">
        <f>T_CURSOS[[#This Row],[BENEFICIO]]/T_CURSOS[[#This Row],[IMPORTE CLIENTE]]</f>
        <v>0.68</v>
      </c>
    </row>
    <row r="62" spans="1:18" x14ac:dyDescent="0.2">
      <c r="A62" s="2" t="s">
        <v>114</v>
      </c>
      <c r="B62" s="3" t="s">
        <v>65</v>
      </c>
      <c r="C62" s="3">
        <v>10</v>
      </c>
      <c r="D62" s="3" t="s">
        <v>43</v>
      </c>
      <c r="E62" s="4">
        <v>600</v>
      </c>
      <c r="F62" s="3" t="s">
        <v>18</v>
      </c>
      <c r="G62" s="4">
        <v>120</v>
      </c>
      <c r="H62" s="5">
        <v>43739</v>
      </c>
      <c r="I62" s="5" t="s">
        <v>28</v>
      </c>
      <c r="J62" s="3" t="s">
        <v>20</v>
      </c>
      <c r="K62" s="4">
        <v>72</v>
      </c>
      <c r="L62" s="3" t="s">
        <v>41</v>
      </c>
      <c r="M62" s="2" t="s">
        <v>45</v>
      </c>
      <c r="N62" s="2" t="s">
        <v>82</v>
      </c>
      <c r="O62" s="2" t="s">
        <v>21</v>
      </c>
      <c r="P62" s="6">
        <f>T_CURSOS[[#This Row],[IMPORTE PROFESOR]]+T_CURSOS[[#This Row],[IMPORTE COMERCIAL]]</f>
        <v>192</v>
      </c>
      <c r="Q62" s="6">
        <f>T_CURSOS[[#This Row],[IMPORTE CLIENTE]]-T_CURSOS[[#This Row],[GASTO]]</f>
        <v>408</v>
      </c>
      <c r="R62" s="7">
        <f>T_CURSOS[[#This Row],[BENEFICIO]]/T_CURSOS[[#This Row],[IMPORTE CLIENTE]]</f>
        <v>0.68</v>
      </c>
    </row>
    <row r="63" spans="1:18" x14ac:dyDescent="0.2">
      <c r="A63" s="2" t="s">
        <v>115</v>
      </c>
      <c r="B63" s="3" t="s">
        <v>33</v>
      </c>
      <c r="C63" s="3">
        <v>12</v>
      </c>
      <c r="D63" s="3" t="s">
        <v>51</v>
      </c>
      <c r="E63" s="4">
        <v>480</v>
      </c>
      <c r="F63" s="3" t="s">
        <v>27</v>
      </c>
      <c r="G63" s="4">
        <v>144</v>
      </c>
      <c r="H63" s="5">
        <v>44273</v>
      </c>
      <c r="I63" s="5" t="s">
        <v>19</v>
      </c>
      <c r="J63" s="3" t="s">
        <v>29</v>
      </c>
      <c r="K63" s="4">
        <v>48</v>
      </c>
      <c r="L63" s="3" t="s">
        <v>41</v>
      </c>
      <c r="M63" s="2" t="s">
        <v>45</v>
      </c>
      <c r="N63" s="2" t="s">
        <v>82</v>
      </c>
      <c r="O63" s="2" t="s">
        <v>21</v>
      </c>
      <c r="P63" s="6">
        <f>T_CURSOS[[#This Row],[IMPORTE PROFESOR]]+T_CURSOS[[#This Row],[IMPORTE COMERCIAL]]</f>
        <v>192</v>
      </c>
      <c r="Q63" s="6">
        <f>T_CURSOS[[#This Row],[IMPORTE CLIENTE]]-T_CURSOS[[#This Row],[GASTO]]</f>
        <v>288</v>
      </c>
      <c r="R63" s="7">
        <f>T_CURSOS[[#This Row],[BENEFICIO]]/T_CURSOS[[#This Row],[IMPORTE CLIENTE]]</f>
        <v>0.6</v>
      </c>
    </row>
    <row r="64" spans="1:18" x14ac:dyDescent="0.2">
      <c r="A64" s="2" t="s">
        <v>116</v>
      </c>
      <c r="B64" s="3" t="s">
        <v>33</v>
      </c>
      <c r="C64" s="3">
        <v>15</v>
      </c>
      <c r="D64" s="3" t="s">
        <v>61</v>
      </c>
      <c r="E64" s="4">
        <v>600</v>
      </c>
      <c r="F64" s="3" t="s">
        <v>35</v>
      </c>
      <c r="G64" s="4">
        <v>180</v>
      </c>
      <c r="H64" s="5">
        <v>43547</v>
      </c>
      <c r="I64" s="5" t="s">
        <v>19</v>
      </c>
      <c r="J64" s="3" t="s">
        <v>36</v>
      </c>
      <c r="K64" s="4">
        <v>60</v>
      </c>
      <c r="L64" s="3" t="s">
        <v>21</v>
      </c>
      <c r="M64" s="2" t="s">
        <v>22</v>
      </c>
      <c r="N64" s="2" t="s">
        <v>101</v>
      </c>
      <c r="O64" s="2" t="s">
        <v>21</v>
      </c>
      <c r="P64" s="6">
        <f>T_CURSOS[[#This Row],[IMPORTE PROFESOR]]+T_CURSOS[[#This Row],[IMPORTE COMERCIAL]]</f>
        <v>240</v>
      </c>
      <c r="Q64" s="6">
        <f>T_CURSOS[[#This Row],[IMPORTE CLIENTE]]-T_CURSOS[[#This Row],[GASTO]]</f>
        <v>360</v>
      </c>
      <c r="R64" s="7">
        <f>T_CURSOS[[#This Row],[BENEFICIO]]/T_CURSOS[[#This Row],[IMPORTE CLIENTE]]</f>
        <v>0.6</v>
      </c>
    </row>
    <row r="65" spans="1:18" x14ac:dyDescent="0.2">
      <c r="A65" s="2" t="s">
        <v>117</v>
      </c>
      <c r="B65" s="3" t="s">
        <v>33</v>
      </c>
      <c r="C65" s="3">
        <v>20</v>
      </c>
      <c r="D65" s="3" t="s">
        <v>38</v>
      </c>
      <c r="E65" s="4">
        <v>800</v>
      </c>
      <c r="F65" s="3" t="s">
        <v>35</v>
      </c>
      <c r="G65" s="4">
        <v>240</v>
      </c>
      <c r="H65" s="5">
        <v>44289</v>
      </c>
      <c r="I65" s="5" t="s">
        <v>19</v>
      </c>
      <c r="J65" s="3" t="s">
        <v>40</v>
      </c>
      <c r="K65" s="4">
        <v>80</v>
      </c>
      <c r="L65" s="3" t="s">
        <v>41</v>
      </c>
      <c r="M65" s="2" t="s">
        <v>30</v>
      </c>
      <c r="N65" s="2" t="s">
        <v>104</v>
      </c>
      <c r="O65" s="2" t="s">
        <v>21</v>
      </c>
      <c r="P65" s="6">
        <f>T_CURSOS[[#This Row],[IMPORTE PROFESOR]]+T_CURSOS[[#This Row],[IMPORTE COMERCIAL]]</f>
        <v>320</v>
      </c>
      <c r="Q65" s="6">
        <f>T_CURSOS[[#This Row],[IMPORTE CLIENTE]]-T_CURSOS[[#This Row],[GASTO]]</f>
        <v>480</v>
      </c>
      <c r="R65" s="7">
        <f>T_CURSOS[[#This Row],[BENEFICIO]]/T_CURSOS[[#This Row],[IMPORTE CLIENTE]]</f>
        <v>0.6</v>
      </c>
    </row>
    <row r="66" spans="1:18" x14ac:dyDescent="0.2">
      <c r="A66" s="2" t="s">
        <v>118</v>
      </c>
      <c r="B66" s="3" t="s">
        <v>33</v>
      </c>
      <c r="C66" s="3">
        <v>25</v>
      </c>
      <c r="D66" s="3" t="s">
        <v>43</v>
      </c>
      <c r="E66" s="4">
        <v>1000</v>
      </c>
      <c r="F66" s="3" t="s">
        <v>39</v>
      </c>
      <c r="G66" s="4">
        <v>300</v>
      </c>
      <c r="H66" s="5">
        <v>43565</v>
      </c>
      <c r="I66" s="5" t="s">
        <v>19</v>
      </c>
      <c r="J66" s="3" t="s">
        <v>20</v>
      </c>
      <c r="K66" s="4">
        <v>100</v>
      </c>
      <c r="L66" s="3" t="s">
        <v>21</v>
      </c>
      <c r="M66" s="2" t="s">
        <v>45</v>
      </c>
      <c r="N66" s="2" t="s">
        <v>82</v>
      </c>
      <c r="O66" s="2" t="s">
        <v>21</v>
      </c>
      <c r="P66" s="6">
        <f>T_CURSOS[[#This Row],[IMPORTE PROFESOR]]+T_CURSOS[[#This Row],[IMPORTE COMERCIAL]]</f>
        <v>400</v>
      </c>
      <c r="Q66" s="6">
        <f>T_CURSOS[[#This Row],[IMPORTE CLIENTE]]-T_CURSOS[[#This Row],[GASTO]]</f>
        <v>600</v>
      </c>
      <c r="R66" s="7">
        <f>T_CURSOS[[#This Row],[BENEFICIO]]/T_CURSOS[[#This Row],[IMPORTE CLIENTE]]</f>
        <v>0.6</v>
      </c>
    </row>
    <row r="67" spans="1:18" x14ac:dyDescent="0.2">
      <c r="A67" s="2" t="s">
        <v>119</v>
      </c>
      <c r="B67" s="3" t="s">
        <v>25</v>
      </c>
      <c r="C67" s="3">
        <v>30</v>
      </c>
      <c r="D67" s="3" t="s">
        <v>51</v>
      </c>
      <c r="E67" s="4">
        <v>900</v>
      </c>
      <c r="F67" s="3" t="s">
        <v>44</v>
      </c>
      <c r="G67" s="4">
        <v>360</v>
      </c>
      <c r="H67" s="5">
        <v>43901</v>
      </c>
      <c r="I67" s="5" t="s">
        <v>28</v>
      </c>
      <c r="J67" s="3" t="s">
        <v>29</v>
      </c>
      <c r="K67" s="4">
        <v>72</v>
      </c>
      <c r="L67" s="3" t="s">
        <v>21</v>
      </c>
      <c r="M67" s="2" t="s">
        <v>45</v>
      </c>
      <c r="N67" s="2" t="s">
        <v>82</v>
      </c>
      <c r="O67" s="2" t="s">
        <v>21</v>
      </c>
      <c r="P67" s="6">
        <f>T_CURSOS[[#This Row],[IMPORTE PROFESOR]]+T_CURSOS[[#This Row],[IMPORTE COMERCIAL]]</f>
        <v>432</v>
      </c>
      <c r="Q67" s="6">
        <f>T_CURSOS[[#This Row],[IMPORTE CLIENTE]]-T_CURSOS[[#This Row],[GASTO]]</f>
        <v>468</v>
      </c>
      <c r="R67" s="7">
        <f>T_CURSOS[[#This Row],[BENEFICIO]]/T_CURSOS[[#This Row],[IMPORTE CLIENTE]]</f>
        <v>0.52</v>
      </c>
    </row>
    <row r="68" spans="1:18" x14ac:dyDescent="0.2">
      <c r="A68" s="2" t="s">
        <v>120</v>
      </c>
      <c r="B68" s="3" t="s">
        <v>25</v>
      </c>
      <c r="C68" s="3">
        <v>40</v>
      </c>
      <c r="D68" s="3" t="s">
        <v>34</v>
      </c>
      <c r="E68" s="4">
        <v>1200</v>
      </c>
      <c r="F68" s="3" t="s">
        <v>27</v>
      </c>
      <c r="G68" s="4">
        <v>480</v>
      </c>
      <c r="H68" s="5">
        <v>43749</v>
      </c>
      <c r="I68" s="5" t="s">
        <v>28</v>
      </c>
      <c r="J68" s="3" t="s">
        <v>36</v>
      </c>
      <c r="K68" s="4">
        <v>96</v>
      </c>
      <c r="L68" s="3" t="s">
        <v>21</v>
      </c>
      <c r="M68" s="2" t="s">
        <v>22</v>
      </c>
      <c r="N68" s="2" t="s">
        <v>101</v>
      </c>
      <c r="O68" s="2" t="s">
        <v>21</v>
      </c>
      <c r="P68" s="6">
        <f>T_CURSOS[[#This Row],[IMPORTE PROFESOR]]+T_CURSOS[[#This Row],[IMPORTE COMERCIAL]]</f>
        <v>576</v>
      </c>
      <c r="Q68" s="6">
        <f>T_CURSOS[[#This Row],[IMPORTE CLIENTE]]-T_CURSOS[[#This Row],[GASTO]]</f>
        <v>624</v>
      </c>
      <c r="R68" s="7">
        <f>T_CURSOS[[#This Row],[BENEFICIO]]/T_CURSOS[[#This Row],[IMPORTE CLIENTE]]</f>
        <v>0.52</v>
      </c>
    </row>
    <row r="69" spans="1:18" x14ac:dyDescent="0.2">
      <c r="A69" s="2" t="s">
        <v>121</v>
      </c>
      <c r="B69" s="3" t="s">
        <v>25</v>
      </c>
      <c r="C69" s="3">
        <v>35</v>
      </c>
      <c r="D69" s="3" t="s">
        <v>56</v>
      </c>
      <c r="E69" s="4">
        <v>1050</v>
      </c>
      <c r="F69" s="3" t="s">
        <v>35</v>
      </c>
      <c r="G69" s="4">
        <v>420</v>
      </c>
      <c r="H69" s="5">
        <v>44187</v>
      </c>
      <c r="I69" s="5" t="s">
        <v>28</v>
      </c>
      <c r="J69" s="3" t="s">
        <v>40</v>
      </c>
      <c r="K69" s="4">
        <v>84</v>
      </c>
      <c r="L69" s="3" t="s">
        <v>21</v>
      </c>
      <c r="M69" s="2" t="s">
        <v>22</v>
      </c>
      <c r="N69" s="2" t="s">
        <v>101</v>
      </c>
      <c r="O69" s="2" t="s">
        <v>21</v>
      </c>
      <c r="P69" s="6">
        <f>T_CURSOS[[#This Row],[IMPORTE PROFESOR]]+T_CURSOS[[#This Row],[IMPORTE COMERCIAL]]</f>
        <v>504</v>
      </c>
      <c r="Q69" s="6">
        <f>T_CURSOS[[#This Row],[IMPORTE CLIENTE]]-T_CURSOS[[#This Row],[GASTO]]</f>
        <v>546</v>
      </c>
      <c r="R69" s="7">
        <f>T_CURSOS[[#This Row],[BENEFICIO]]/T_CURSOS[[#This Row],[IMPORTE CLIENTE]]</f>
        <v>0.52</v>
      </c>
    </row>
    <row r="70" spans="1:18" x14ac:dyDescent="0.2">
      <c r="A70" s="2" t="s">
        <v>122</v>
      </c>
      <c r="B70" s="3" t="s">
        <v>16</v>
      </c>
      <c r="C70" s="3">
        <v>45</v>
      </c>
      <c r="D70" s="3" t="s">
        <v>56</v>
      </c>
      <c r="E70" s="4">
        <v>1125</v>
      </c>
      <c r="F70" s="3" t="s">
        <v>39</v>
      </c>
      <c r="G70" s="4">
        <v>540</v>
      </c>
      <c r="H70" s="5">
        <v>43723</v>
      </c>
      <c r="I70" s="5" t="s">
        <v>28</v>
      </c>
      <c r="J70" s="3" t="s">
        <v>29</v>
      </c>
      <c r="K70" s="4">
        <v>78.75</v>
      </c>
      <c r="L70" s="3" t="s">
        <v>21</v>
      </c>
      <c r="M70" s="2" t="s">
        <v>22</v>
      </c>
      <c r="N70" s="2" t="s">
        <v>101</v>
      </c>
      <c r="O70" s="2" t="s">
        <v>21</v>
      </c>
      <c r="P70" s="6">
        <f>T_CURSOS[[#This Row],[IMPORTE PROFESOR]]+T_CURSOS[[#This Row],[IMPORTE COMERCIAL]]</f>
        <v>618.75</v>
      </c>
      <c r="Q70" s="6">
        <f>T_CURSOS[[#This Row],[IMPORTE CLIENTE]]-T_CURSOS[[#This Row],[GASTO]]</f>
        <v>506.25</v>
      </c>
      <c r="R70" s="7">
        <f>T_CURSOS[[#This Row],[BENEFICIO]]/T_CURSOS[[#This Row],[IMPORTE CLIENTE]]</f>
        <v>0.45</v>
      </c>
    </row>
    <row r="71" spans="1:18" x14ac:dyDescent="0.2">
      <c r="A71" s="2" t="s">
        <v>123</v>
      </c>
      <c r="B71" s="3" t="s">
        <v>16</v>
      </c>
      <c r="C71" s="3">
        <v>18</v>
      </c>
      <c r="D71" s="3" t="s">
        <v>51</v>
      </c>
      <c r="E71" s="4">
        <v>450</v>
      </c>
      <c r="F71" s="3" t="s">
        <v>18</v>
      </c>
      <c r="G71" s="4">
        <v>216</v>
      </c>
      <c r="H71" s="5">
        <v>44471</v>
      </c>
      <c r="I71" s="5" t="s">
        <v>57</v>
      </c>
      <c r="J71" s="3" t="s">
        <v>36</v>
      </c>
      <c r="K71" s="4">
        <v>31.5</v>
      </c>
      <c r="L71" s="3" t="s">
        <v>21</v>
      </c>
      <c r="M71" s="2" t="s">
        <v>45</v>
      </c>
      <c r="N71" s="2" t="s">
        <v>82</v>
      </c>
      <c r="O71" s="2" t="s">
        <v>21</v>
      </c>
      <c r="P71" s="6">
        <f>T_CURSOS[[#This Row],[IMPORTE PROFESOR]]+T_CURSOS[[#This Row],[IMPORTE COMERCIAL]]</f>
        <v>247.5</v>
      </c>
      <c r="Q71" s="6">
        <f>T_CURSOS[[#This Row],[IMPORTE CLIENTE]]-T_CURSOS[[#This Row],[GASTO]]</f>
        <v>202.5</v>
      </c>
      <c r="R71" s="7">
        <f>T_CURSOS[[#This Row],[BENEFICIO]]/T_CURSOS[[#This Row],[IMPORTE CLIENTE]]</f>
        <v>0.45</v>
      </c>
    </row>
    <row r="72" spans="1:18" x14ac:dyDescent="0.2">
      <c r="A72" s="2" t="s">
        <v>124</v>
      </c>
      <c r="B72" s="3" t="s">
        <v>16</v>
      </c>
      <c r="C72" s="3">
        <v>10</v>
      </c>
      <c r="D72" s="3" t="s">
        <v>43</v>
      </c>
      <c r="E72" s="4">
        <v>250</v>
      </c>
      <c r="F72" s="3" t="s">
        <v>27</v>
      </c>
      <c r="G72" s="4">
        <v>120</v>
      </c>
      <c r="H72" s="5">
        <v>44344</v>
      </c>
      <c r="I72" s="5" t="s">
        <v>57</v>
      </c>
      <c r="J72" s="3" t="s">
        <v>40</v>
      </c>
      <c r="K72" s="4">
        <v>17.5</v>
      </c>
      <c r="L72" s="3" t="s">
        <v>21</v>
      </c>
      <c r="M72" s="2" t="s">
        <v>45</v>
      </c>
      <c r="N72" s="2" t="s">
        <v>82</v>
      </c>
      <c r="O72" s="2" t="s">
        <v>21</v>
      </c>
      <c r="P72" s="6">
        <f>T_CURSOS[[#This Row],[IMPORTE PROFESOR]]+T_CURSOS[[#This Row],[IMPORTE COMERCIAL]]</f>
        <v>137.5</v>
      </c>
      <c r="Q72" s="6">
        <f>T_CURSOS[[#This Row],[IMPORTE CLIENTE]]-T_CURSOS[[#This Row],[GASTO]]</f>
        <v>112.5</v>
      </c>
      <c r="R72" s="7">
        <f>T_CURSOS[[#This Row],[BENEFICIO]]/T_CURSOS[[#This Row],[IMPORTE CLIENTE]]</f>
        <v>0.45</v>
      </c>
    </row>
    <row r="73" spans="1:18" x14ac:dyDescent="0.2">
      <c r="A73" s="2" t="s">
        <v>125</v>
      </c>
      <c r="B73" s="3" t="s">
        <v>16</v>
      </c>
      <c r="C73" s="3">
        <v>45</v>
      </c>
      <c r="D73" s="3" t="s">
        <v>61</v>
      </c>
      <c r="E73" s="4">
        <v>1125</v>
      </c>
      <c r="F73" s="3" t="s">
        <v>35</v>
      </c>
      <c r="G73" s="4">
        <v>540</v>
      </c>
      <c r="H73" s="5">
        <v>44426</v>
      </c>
      <c r="I73" s="5" t="s">
        <v>57</v>
      </c>
      <c r="J73" s="3" t="s">
        <v>20</v>
      </c>
      <c r="K73" s="4">
        <v>78.75</v>
      </c>
      <c r="L73" s="3" t="s">
        <v>21</v>
      </c>
      <c r="M73" s="2" t="s">
        <v>22</v>
      </c>
      <c r="N73" s="2" t="s">
        <v>101</v>
      </c>
      <c r="O73" s="2" t="s">
        <v>21</v>
      </c>
      <c r="P73" s="6">
        <f>T_CURSOS[[#This Row],[IMPORTE PROFESOR]]+T_CURSOS[[#This Row],[IMPORTE COMERCIAL]]</f>
        <v>618.75</v>
      </c>
      <c r="Q73" s="6">
        <f>T_CURSOS[[#This Row],[IMPORTE CLIENTE]]-T_CURSOS[[#This Row],[GASTO]]</f>
        <v>506.25</v>
      </c>
      <c r="R73" s="7">
        <f>T_CURSOS[[#This Row],[BENEFICIO]]/T_CURSOS[[#This Row],[IMPORTE CLIENTE]]</f>
        <v>0.45</v>
      </c>
    </row>
    <row r="74" spans="1:18" x14ac:dyDescent="0.2">
      <c r="A74" s="2" t="s">
        <v>126</v>
      </c>
      <c r="B74" s="3" t="s">
        <v>25</v>
      </c>
      <c r="C74" s="3">
        <v>25</v>
      </c>
      <c r="D74" s="3" t="s">
        <v>61</v>
      </c>
      <c r="E74" s="4">
        <v>750</v>
      </c>
      <c r="F74" s="3" t="s">
        <v>39</v>
      </c>
      <c r="G74" s="4">
        <v>300</v>
      </c>
      <c r="H74" s="5">
        <v>43615</v>
      </c>
      <c r="I74" s="5" t="s">
        <v>28</v>
      </c>
      <c r="J74" s="3" t="s">
        <v>29</v>
      </c>
      <c r="K74" s="4">
        <v>60</v>
      </c>
      <c r="L74" s="3" t="s">
        <v>21</v>
      </c>
      <c r="M74" s="2" t="s">
        <v>22</v>
      </c>
      <c r="N74" s="2" t="s">
        <v>101</v>
      </c>
      <c r="O74" s="2" t="s">
        <v>21</v>
      </c>
      <c r="P74" s="6">
        <f>T_CURSOS[[#This Row],[IMPORTE PROFESOR]]+T_CURSOS[[#This Row],[IMPORTE COMERCIAL]]</f>
        <v>360</v>
      </c>
      <c r="Q74" s="6">
        <f>T_CURSOS[[#This Row],[IMPORTE CLIENTE]]-T_CURSOS[[#This Row],[GASTO]]</f>
        <v>390</v>
      </c>
      <c r="R74" s="7">
        <f>T_CURSOS[[#This Row],[BENEFICIO]]/T_CURSOS[[#This Row],[IMPORTE CLIENTE]]</f>
        <v>0.52</v>
      </c>
    </row>
    <row r="75" spans="1:18" x14ac:dyDescent="0.2">
      <c r="A75" s="2" t="s">
        <v>127</v>
      </c>
      <c r="B75" s="3" t="s">
        <v>33</v>
      </c>
      <c r="C75" s="3">
        <v>20</v>
      </c>
      <c r="D75" s="3" t="s">
        <v>56</v>
      </c>
      <c r="E75" s="4">
        <v>800</v>
      </c>
      <c r="F75" s="3" t="s">
        <v>44</v>
      </c>
      <c r="G75" s="4">
        <v>240</v>
      </c>
      <c r="H75" s="5">
        <v>43606</v>
      </c>
      <c r="I75" s="5" t="s">
        <v>28</v>
      </c>
      <c r="J75" s="3" t="s">
        <v>36</v>
      </c>
      <c r="K75" s="4">
        <v>80</v>
      </c>
      <c r="L75" s="3" t="s">
        <v>21</v>
      </c>
      <c r="M75" s="2" t="s">
        <v>22</v>
      </c>
      <c r="N75" s="2" t="s">
        <v>101</v>
      </c>
      <c r="O75" s="2" t="s">
        <v>21</v>
      </c>
      <c r="P75" s="6">
        <f>T_CURSOS[[#This Row],[IMPORTE PROFESOR]]+T_CURSOS[[#This Row],[IMPORTE COMERCIAL]]</f>
        <v>320</v>
      </c>
      <c r="Q75" s="6">
        <f>T_CURSOS[[#This Row],[IMPORTE CLIENTE]]-T_CURSOS[[#This Row],[GASTO]]</f>
        <v>480</v>
      </c>
      <c r="R75" s="7">
        <f>T_CURSOS[[#This Row],[BENEFICIO]]/T_CURSOS[[#This Row],[IMPORTE CLIENTE]]</f>
        <v>0.6</v>
      </c>
    </row>
    <row r="76" spans="1:18" x14ac:dyDescent="0.2">
      <c r="A76" s="2" t="s">
        <v>128</v>
      </c>
      <c r="B76" s="3" t="s">
        <v>16</v>
      </c>
      <c r="C76" s="3">
        <v>10</v>
      </c>
      <c r="D76" s="3" t="s">
        <v>43</v>
      </c>
      <c r="E76" s="4">
        <v>250</v>
      </c>
      <c r="F76" s="3" t="s">
        <v>27</v>
      </c>
      <c r="G76" s="4">
        <v>120</v>
      </c>
      <c r="H76" s="5">
        <v>43493</v>
      </c>
      <c r="I76" s="5" t="s">
        <v>28</v>
      </c>
      <c r="J76" s="3" t="s">
        <v>20</v>
      </c>
      <c r="K76" s="4">
        <v>17.5</v>
      </c>
      <c r="L76" s="3" t="s">
        <v>21</v>
      </c>
      <c r="M76" s="2" t="s">
        <v>45</v>
      </c>
      <c r="N76" s="2" t="s">
        <v>82</v>
      </c>
      <c r="O76" s="2" t="s">
        <v>21</v>
      </c>
      <c r="P76" s="6">
        <f>T_CURSOS[[#This Row],[IMPORTE PROFESOR]]+T_CURSOS[[#This Row],[IMPORTE COMERCIAL]]</f>
        <v>137.5</v>
      </c>
      <c r="Q76" s="6">
        <f>T_CURSOS[[#This Row],[IMPORTE CLIENTE]]-T_CURSOS[[#This Row],[GASTO]]</f>
        <v>112.5</v>
      </c>
      <c r="R76" s="7">
        <f>T_CURSOS[[#This Row],[BENEFICIO]]/T_CURSOS[[#This Row],[IMPORTE CLIENTE]]</f>
        <v>0.45</v>
      </c>
    </row>
    <row r="77" spans="1:18" x14ac:dyDescent="0.2">
      <c r="A77" s="2" t="s">
        <v>129</v>
      </c>
      <c r="B77" s="3" t="s">
        <v>16</v>
      </c>
      <c r="C77" s="3">
        <v>12</v>
      </c>
      <c r="D77" s="3" t="s">
        <v>38</v>
      </c>
      <c r="E77" s="4">
        <v>300</v>
      </c>
      <c r="F77" s="3" t="s">
        <v>35</v>
      </c>
      <c r="G77" s="4">
        <v>144</v>
      </c>
      <c r="H77" s="5">
        <v>44114</v>
      </c>
      <c r="I77" s="5" t="s">
        <v>28</v>
      </c>
      <c r="J77" s="3" t="s">
        <v>29</v>
      </c>
      <c r="K77" s="4">
        <v>21</v>
      </c>
      <c r="L77" s="3" t="s">
        <v>21</v>
      </c>
      <c r="M77" s="2" t="s">
        <v>30</v>
      </c>
      <c r="N77" s="2" t="s">
        <v>104</v>
      </c>
      <c r="O77" s="2" t="s">
        <v>21</v>
      </c>
      <c r="P77" s="6">
        <f>T_CURSOS[[#This Row],[IMPORTE PROFESOR]]+T_CURSOS[[#This Row],[IMPORTE COMERCIAL]]</f>
        <v>165</v>
      </c>
      <c r="Q77" s="6">
        <f>T_CURSOS[[#This Row],[IMPORTE CLIENTE]]-T_CURSOS[[#This Row],[GASTO]]</f>
        <v>135</v>
      </c>
      <c r="R77" s="7">
        <f>T_CURSOS[[#This Row],[BENEFICIO]]/T_CURSOS[[#This Row],[IMPORTE CLIENTE]]</f>
        <v>0.45</v>
      </c>
    </row>
    <row r="78" spans="1:18" x14ac:dyDescent="0.2">
      <c r="A78" s="2" t="s">
        <v>130</v>
      </c>
      <c r="B78" s="3" t="s">
        <v>16</v>
      </c>
      <c r="C78" s="3">
        <v>15</v>
      </c>
      <c r="D78" s="3" t="s">
        <v>43</v>
      </c>
      <c r="E78" s="4">
        <v>375</v>
      </c>
      <c r="F78" s="3" t="s">
        <v>39</v>
      </c>
      <c r="G78" s="4">
        <v>180</v>
      </c>
      <c r="H78" s="5">
        <v>44481</v>
      </c>
      <c r="I78" s="5" t="s">
        <v>57</v>
      </c>
      <c r="J78" s="3" t="s">
        <v>36</v>
      </c>
      <c r="K78" s="4">
        <v>26.25</v>
      </c>
      <c r="L78" s="3" t="s">
        <v>21</v>
      </c>
      <c r="M78" s="2" t="s">
        <v>45</v>
      </c>
      <c r="N78" s="2" t="s">
        <v>82</v>
      </c>
      <c r="O78" s="2" t="s">
        <v>21</v>
      </c>
      <c r="P78" s="6">
        <f>T_CURSOS[[#This Row],[IMPORTE PROFESOR]]+T_CURSOS[[#This Row],[IMPORTE COMERCIAL]]</f>
        <v>206.25</v>
      </c>
      <c r="Q78" s="6">
        <f>T_CURSOS[[#This Row],[IMPORTE CLIENTE]]-T_CURSOS[[#This Row],[GASTO]]</f>
        <v>168.75</v>
      </c>
      <c r="R78" s="7">
        <f>T_CURSOS[[#This Row],[BENEFICIO]]/T_CURSOS[[#This Row],[IMPORTE CLIENTE]]</f>
        <v>0.45</v>
      </c>
    </row>
    <row r="79" spans="1:18" x14ac:dyDescent="0.2">
      <c r="A79" s="2" t="s">
        <v>131</v>
      </c>
      <c r="B79" s="3" t="s">
        <v>25</v>
      </c>
      <c r="C79" s="3">
        <v>20</v>
      </c>
      <c r="D79" s="3" t="s">
        <v>34</v>
      </c>
      <c r="E79" s="4">
        <v>600</v>
      </c>
      <c r="F79" s="3" t="s">
        <v>44</v>
      </c>
      <c r="G79" s="4">
        <v>240</v>
      </c>
      <c r="H79" s="5">
        <v>44074</v>
      </c>
      <c r="I79" s="5" t="s">
        <v>19</v>
      </c>
      <c r="J79" s="3" t="s">
        <v>40</v>
      </c>
      <c r="K79" s="4">
        <v>48</v>
      </c>
      <c r="L79" s="3" t="s">
        <v>41</v>
      </c>
      <c r="M79" s="2" t="s">
        <v>22</v>
      </c>
      <c r="N79" s="2" t="s">
        <v>101</v>
      </c>
      <c r="O79" s="2" t="s">
        <v>21</v>
      </c>
      <c r="P79" s="6">
        <f>T_CURSOS[[#This Row],[IMPORTE PROFESOR]]+T_CURSOS[[#This Row],[IMPORTE COMERCIAL]]</f>
        <v>288</v>
      </c>
      <c r="Q79" s="6">
        <f>T_CURSOS[[#This Row],[IMPORTE CLIENTE]]-T_CURSOS[[#This Row],[GASTO]]</f>
        <v>312</v>
      </c>
      <c r="R79" s="7">
        <f>T_CURSOS[[#This Row],[BENEFICIO]]/T_CURSOS[[#This Row],[IMPORTE CLIENTE]]</f>
        <v>0.52</v>
      </c>
    </row>
    <row r="80" spans="1:18" x14ac:dyDescent="0.2">
      <c r="A80" s="2" t="s">
        <v>132</v>
      </c>
      <c r="B80" s="3" t="s">
        <v>25</v>
      </c>
      <c r="C80" s="3">
        <v>25</v>
      </c>
      <c r="D80" s="3" t="s">
        <v>38</v>
      </c>
      <c r="E80" s="4">
        <v>750</v>
      </c>
      <c r="F80" s="3" t="s">
        <v>27</v>
      </c>
      <c r="G80" s="4">
        <v>300</v>
      </c>
      <c r="H80" s="5">
        <v>44227</v>
      </c>
      <c r="I80" s="5" t="s">
        <v>19</v>
      </c>
      <c r="J80" s="3" t="s">
        <v>29</v>
      </c>
      <c r="K80" s="4">
        <v>60</v>
      </c>
      <c r="L80" s="3" t="s">
        <v>41</v>
      </c>
      <c r="M80" s="2" t="s">
        <v>30</v>
      </c>
      <c r="N80" s="2" t="s">
        <v>104</v>
      </c>
      <c r="O80" s="2" t="s">
        <v>21</v>
      </c>
      <c r="P80" s="6">
        <f>T_CURSOS[[#This Row],[IMPORTE PROFESOR]]+T_CURSOS[[#This Row],[IMPORTE COMERCIAL]]</f>
        <v>360</v>
      </c>
      <c r="Q80" s="6">
        <f>T_CURSOS[[#This Row],[IMPORTE CLIENTE]]-T_CURSOS[[#This Row],[GASTO]]</f>
        <v>390</v>
      </c>
      <c r="R80" s="7">
        <f>T_CURSOS[[#This Row],[BENEFICIO]]/T_CURSOS[[#This Row],[IMPORTE CLIENTE]]</f>
        <v>0.52</v>
      </c>
    </row>
    <row r="81" spans="1:18" x14ac:dyDescent="0.2">
      <c r="A81" s="2" t="s">
        <v>133</v>
      </c>
      <c r="B81" s="3" t="s">
        <v>25</v>
      </c>
      <c r="C81" s="3">
        <v>30</v>
      </c>
      <c r="D81" s="3" t="s">
        <v>43</v>
      </c>
      <c r="E81" s="4">
        <v>900</v>
      </c>
      <c r="F81" s="3" t="s">
        <v>35</v>
      </c>
      <c r="G81" s="4">
        <v>360</v>
      </c>
      <c r="H81" s="5">
        <v>43871</v>
      </c>
      <c r="I81" s="5" t="s">
        <v>19</v>
      </c>
      <c r="J81" s="3" t="s">
        <v>36</v>
      </c>
      <c r="K81" s="4">
        <v>72</v>
      </c>
      <c r="L81" s="3" t="s">
        <v>21</v>
      </c>
      <c r="M81" s="2" t="s">
        <v>45</v>
      </c>
      <c r="N81" s="2" t="s">
        <v>82</v>
      </c>
      <c r="O81" s="2" t="s">
        <v>21</v>
      </c>
      <c r="P81" s="6">
        <f>T_CURSOS[[#This Row],[IMPORTE PROFESOR]]+T_CURSOS[[#This Row],[IMPORTE COMERCIAL]]</f>
        <v>432</v>
      </c>
      <c r="Q81" s="6">
        <f>T_CURSOS[[#This Row],[IMPORTE CLIENTE]]-T_CURSOS[[#This Row],[GASTO]]</f>
        <v>468</v>
      </c>
      <c r="R81" s="7">
        <f>T_CURSOS[[#This Row],[BENEFICIO]]/T_CURSOS[[#This Row],[IMPORTE CLIENTE]]</f>
        <v>0.52</v>
      </c>
    </row>
    <row r="82" spans="1:18" x14ac:dyDescent="0.2">
      <c r="A82" s="2" t="s">
        <v>134</v>
      </c>
      <c r="B82" s="3" t="s">
        <v>53</v>
      </c>
      <c r="C82" s="3">
        <v>40</v>
      </c>
      <c r="D82" s="3" t="s">
        <v>38</v>
      </c>
      <c r="E82" s="4">
        <v>1000</v>
      </c>
      <c r="F82" s="3" t="s">
        <v>39</v>
      </c>
      <c r="G82" s="4">
        <v>480</v>
      </c>
      <c r="H82" s="5">
        <v>43523</v>
      </c>
      <c r="I82" s="5" t="s">
        <v>19</v>
      </c>
      <c r="J82" s="3" t="s">
        <v>40</v>
      </c>
      <c r="K82" s="4">
        <v>50</v>
      </c>
      <c r="L82" s="3" t="s">
        <v>41</v>
      </c>
      <c r="M82" s="2" t="s">
        <v>30</v>
      </c>
      <c r="N82" s="2" t="s">
        <v>104</v>
      </c>
      <c r="O82" s="2" t="s">
        <v>21</v>
      </c>
      <c r="P82" s="6">
        <f>T_CURSOS[[#This Row],[IMPORTE PROFESOR]]+T_CURSOS[[#This Row],[IMPORTE COMERCIAL]]</f>
        <v>530</v>
      </c>
      <c r="Q82" s="6">
        <f>T_CURSOS[[#This Row],[IMPORTE CLIENTE]]-T_CURSOS[[#This Row],[GASTO]]</f>
        <v>470</v>
      </c>
      <c r="R82" s="7">
        <f>T_CURSOS[[#This Row],[BENEFICIO]]/T_CURSOS[[#This Row],[IMPORTE CLIENTE]]</f>
        <v>0.47</v>
      </c>
    </row>
    <row r="83" spans="1:18" x14ac:dyDescent="0.2">
      <c r="A83" s="2" t="s">
        <v>135</v>
      </c>
      <c r="B83" s="3" t="s">
        <v>55</v>
      </c>
      <c r="C83" s="3">
        <v>35</v>
      </c>
      <c r="D83" s="3" t="s">
        <v>34</v>
      </c>
      <c r="E83" s="4">
        <v>875</v>
      </c>
      <c r="F83" s="3" t="s">
        <v>44</v>
      </c>
      <c r="G83" s="4">
        <v>420</v>
      </c>
      <c r="H83" s="5">
        <v>44280</v>
      </c>
      <c r="I83" s="5" t="s">
        <v>28</v>
      </c>
      <c r="J83" s="3" t="s">
        <v>20</v>
      </c>
      <c r="K83" s="4">
        <v>43.75</v>
      </c>
      <c r="L83" s="3" t="s">
        <v>21</v>
      </c>
      <c r="M83" s="2" t="s">
        <v>22</v>
      </c>
      <c r="N83" s="2" t="s">
        <v>101</v>
      </c>
      <c r="O83" s="2" t="s">
        <v>21</v>
      </c>
      <c r="P83" s="6">
        <f>T_CURSOS[[#This Row],[IMPORTE PROFESOR]]+T_CURSOS[[#This Row],[IMPORTE COMERCIAL]]</f>
        <v>463.75</v>
      </c>
      <c r="Q83" s="6">
        <f>T_CURSOS[[#This Row],[IMPORTE CLIENTE]]-T_CURSOS[[#This Row],[GASTO]]</f>
        <v>411.25</v>
      </c>
      <c r="R83" s="7">
        <f>T_CURSOS[[#This Row],[BENEFICIO]]/T_CURSOS[[#This Row],[IMPORTE CLIENTE]]</f>
        <v>0.47</v>
      </c>
    </row>
    <row r="84" spans="1:18" x14ac:dyDescent="0.2">
      <c r="A84" s="2" t="s">
        <v>136</v>
      </c>
      <c r="B84" s="3" t="s">
        <v>55</v>
      </c>
      <c r="C84" s="3">
        <v>45</v>
      </c>
      <c r="D84" s="3" t="s">
        <v>38</v>
      </c>
      <c r="E84" s="4">
        <v>1125</v>
      </c>
      <c r="F84" s="3" t="s">
        <v>27</v>
      </c>
      <c r="G84" s="4">
        <v>540</v>
      </c>
      <c r="H84" s="5">
        <v>43614</v>
      </c>
      <c r="I84" s="5" t="s">
        <v>28</v>
      </c>
      <c r="J84" s="3" t="s">
        <v>29</v>
      </c>
      <c r="K84" s="4">
        <v>56.25</v>
      </c>
      <c r="L84" s="3" t="s">
        <v>21</v>
      </c>
      <c r="M84" s="2" t="s">
        <v>30</v>
      </c>
      <c r="N84" s="2" t="s">
        <v>104</v>
      </c>
      <c r="O84" s="2" t="s">
        <v>21</v>
      </c>
      <c r="P84" s="6">
        <f>T_CURSOS[[#This Row],[IMPORTE PROFESOR]]+T_CURSOS[[#This Row],[IMPORTE COMERCIAL]]</f>
        <v>596.25</v>
      </c>
      <c r="Q84" s="6">
        <f>T_CURSOS[[#This Row],[IMPORTE CLIENTE]]-T_CURSOS[[#This Row],[GASTO]]</f>
        <v>528.75</v>
      </c>
      <c r="R84" s="7">
        <f>T_CURSOS[[#This Row],[BENEFICIO]]/T_CURSOS[[#This Row],[IMPORTE CLIENTE]]</f>
        <v>0.47</v>
      </c>
    </row>
    <row r="85" spans="1:18" x14ac:dyDescent="0.2">
      <c r="A85" s="2" t="s">
        <v>137</v>
      </c>
      <c r="B85" s="3" t="s">
        <v>55</v>
      </c>
      <c r="C85" s="3">
        <v>18</v>
      </c>
      <c r="D85" s="3" t="s">
        <v>51</v>
      </c>
      <c r="E85" s="4">
        <v>450</v>
      </c>
      <c r="F85" s="3" t="s">
        <v>35</v>
      </c>
      <c r="G85" s="4">
        <v>216</v>
      </c>
      <c r="H85" s="5">
        <v>44197</v>
      </c>
      <c r="I85" s="5" t="s">
        <v>28</v>
      </c>
      <c r="J85" s="3" t="s">
        <v>36</v>
      </c>
      <c r="K85" s="4">
        <v>22.5</v>
      </c>
      <c r="L85" s="3" t="s">
        <v>21</v>
      </c>
      <c r="M85" s="2" t="s">
        <v>45</v>
      </c>
      <c r="N85" s="2" t="s">
        <v>46</v>
      </c>
      <c r="O85" s="2" t="s">
        <v>21</v>
      </c>
      <c r="P85" s="6">
        <f>T_CURSOS[[#This Row],[IMPORTE PROFESOR]]+T_CURSOS[[#This Row],[IMPORTE COMERCIAL]]</f>
        <v>238.5</v>
      </c>
      <c r="Q85" s="6">
        <f>T_CURSOS[[#This Row],[IMPORTE CLIENTE]]-T_CURSOS[[#This Row],[GASTO]]</f>
        <v>211.5</v>
      </c>
      <c r="R85" s="7">
        <f>T_CURSOS[[#This Row],[BENEFICIO]]/T_CURSOS[[#This Row],[IMPORTE CLIENTE]]</f>
        <v>0.47</v>
      </c>
    </row>
    <row r="86" spans="1:18" x14ac:dyDescent="0.2">
      <c r="A86" s="2" t="s">
        <v>138</v>
      </c>
      <c r="B86" s="3" t="s">
        <v>53</v>
      </c>
      <c r="C86" s="3">
        <v>10</v>
      </c>
      <c r="D86" s="3" t="s">
        <v>17</v>
      </c>
      <c r="E86" s="4">
        <v>250</v>
      </c>
      <c r="F86" s="3" t="s">
        <v>39</v>
      </c>
      <c r="G86" s="4">
        <v>120</v>
      </c>
      <c r="H86" s="5">
        <v>44338</v>
      </c>
      <c r="I86" s="5" t="s">
        <v>28</v>
      </c>
      <c r="J86" s="3" t="s">
        <v>40</v>
      </c>
      <c r="K86" s="4">
        <v>12.5</v>
      </c>
      <c r="L86" s="3" t="s">
        <v>21</v>
      </c>
      <c r="M86" s="2" t="s">
        <v>22</v>
      </c>
      <c r="N86" s="2" t="s">
        <v>101</v>
      </c>
      <c r="O86" s="2" t="s">
        <v>41</v>
      </c>
      <c r="P86" s="6">
        <f>T_CURSOS[[#This Row],[IMPORTE PROFESOR]]+T_CURSOS[[#This Row],[IMPORTE COMERCIAL]]</f>
        <v>132.5</v>
      </c>
      <c r="Q86" s="6">
        <f>T_CURSOS[[#This Row],[IMPORTE CLIENTE]]-T_CURSOS[[#This Row],[GASTO]]</f>
        <v>117.5</v>
      </c>
      <c r="R86" s="7">
        <f>T_CURSOS[[#This Row],[BENEFICIO]]/T_CURSOS[[#This Row],[IMPORTE CLIENTE]]</f>
        <v>0.47</v>
      </c>
    </row>
    <row r="87" spans="1:18" x14ac:dyDescent="0.2">
      <c r="A87" s="2" t="s">
        <v>139</v>
      </c>
      <c r="B87" s="3" t="s">
        <v>63</v>
      </c>
      <c r="C87" s="3">
        <v>12</v>
      </c>
      <c r="D87" s="3" t="s">
        <v>26</v>
      </c>
      <c r="E87" s="4">
        <v>900</v>
      </c>
      <c r="F87" s="3" t="s">
        <v>18</v>
      </c>
      <c r="G87" s="4">
        <v>144</v>
      </c>
      <c r="H87" s="5">
        <v>43687</v>
      </c>
      <c r="I87" s="5" t="s">
        <v>57</v>
      </c>
      <c r="J87" s="3" t="s">
        <v>20</v>
      </c>
      <c r="K87" s="4">
        <v>135</v>
      </c>
      <c r="L87" s="3" t="s">
        <v>21</v>
      </c>
      <c r="M87" s="2" t="s">
        <v>30</v>
      </c>
      <c r="N87" s="2" t="s">
        <v>104</v>
      </c>
      <c r="O87" s="2" t="s">
        <v>41</v>
      </c>
      <c r="P87" s="6">
        <f>T_CURSOS[[#This Row],[IMPORTE PROFESOR]]+T_CURSOS[[#This Row],[IMPORTE COMERCIAL]]</f>
        <v>279</v>
      </c>
      <c r="Q87" s="6">
        <f>T_CURSOS[[#This Row],[IMPORTE CLIENTE]]-T_CURSOS[[#This Row],[GASTO]]</f>
        <v>621</v>
      </c>
      <c r="R87" s="7">
        <f>T_CURSOS[[#This Row],[BENEFICIO]]/T_CURSOS[[#This Row],[IMPORTE CLIENTE]]</f>
        <v>0.69</v>
      </c>
    </row>
    <row r="88" spans="1:18" x14ac:dyDescent="0.2">
      <c r="A88" s="2" t="s">
        <v>140</v>
      </c>
      <c r="B88" s="3" t="s">
        <v>65</v>
      </c>
      <c r="C88" s="3">
        <v>15</v>
      </c>
      <c r="D88" s="3" t="s">
        <v>34</v>
      </c>
      <c r="E88" s="4">
        <v>900</v>
      </c>
      <c r="F88" s="3" t="s">
        <v>27</v>
      </c>
      <c r="G88" s="4">
        <v>180</v>
      </c>
      <c r="H88" s="5">
        <v>44323</v>
      </c>
      <c r="I88" s="5" t="s">
        <v>57</v>
      </c>
      <c r="J88" s="3" t="s">
        <v>29</v>
      </c>
      <c r="K88" s="4">
        <v>108</v>
      </c>
      <c r="L88" s="3" t="s">
        <v>21</v>
      </c>
      <c r="M88" s="2" t="s">
        <v>22</v>
      </c>
      <c r="N88" s="2" t="s">
        <v>23</v>
      </c>
      <c r="O88" s="2" t="s">
        <v>21</v>
      </c>
      <c r="P88" s="6">
        <f>T_CURSOS[[#This Row],[IMPORTE PROFESOR]]+T_CURSOS[[#This Row],[IMPORTE COMERCIAL]]</f>
        <v>288</v>
      </c>
      <c r="Q88" s="6">
        <f>T_CURSOS[[#This Row],[IMPORTE CLIENTE]]-T_CURSOS[[#This Row],[GASTO]]</f>
        <v>612</v>
      </c>
      <c r="R88" s="7">
        <f>T_CURSOS[[#This Row],[BENEFICIO]]/T_CURSOS[[#This Row],[IMPORTE CLIENTE]]</f>
        <v>0.68</v>
      </c>
    </row>
    <row r="89" spans="1:18" x14ac:dyDescent="0.2">
      <c r="A89" s="2" t="s">
        <v>141</v>
      </c>
      <c r="B89" s="3" t="s">
        <v>65</v>
      </c>
      <c r="C89" s="3">
        <v>25</v>
      </c>
      <c r="D89" s="3" t="s">
        <v>38</v>
      </c>
      <c r="E89" s="4">
        <v>1500</v>
      </c>
      <c r="F89" s="3" t="s">
        <v>35</v>
      </c>
      <c r="G89" s="4">
        <v>300</v>
      </c>
      <c r="H89" s="5">
        <v>43562</v>
      </c>
      <c r="I89" s="5" t="s">
        <v>57</v>
      </c>
      <c r="J89" s="3" t="s">
        <v>36</v>
      </c>
      <c r="K89" s="4">
        <v>180</v>
      </c>
      <c r="L89" s="3" t="s">
        <v>21</v>
      </c>
      <c r="M89" s="2" t="s">
        <v>30</v>
      </c>
      <c r="N89" s="2" t="s">
        <v>104</v>
      </c>
      <c r="O89" s="2" t="s">
        <v>21</v>
      </c>
      <c r="P89" s="6">
        <f>T_CURSOS[[#This Row],[IMPORTE PROFESOR]]+T_CURSOS[[#This Row],[IMPORTE COMERCIAL]]</f>
        <v>480</v>
      </c>
      <c r="Q89" s="6">
        <f>T_CURSOS[[#This Row],[IMPORTE CLIENTE]]-T_CURSOS[[#This Row],[GASTO]]</f>
        <v>1020</v>
      </c>
      <c r="R89" s="7">
        <f>T_CURSOS[[#This Row],[BENEFICIO]]/T_CURSOS[[#This Row],[IMPORTE CLIENTE]]</f>
        <v>0.68</v>
      </c>
    </row>
    <row r="90" spans="1:18" x14ac:dyDescent="0.2">
      <c r="A90" s="2" t="s">
        <v>142</v>
      </c>
      <c r="B90" s="3" t="s">
        <v>16</v>
      </c>
      <c r="C90" s="3">
        <v>15</v>
      </c>
      <c r="D90" s="3" t="s">
        <v>43</v>
      </c>
      <c r="E90" s="4">
        <v>375</v>
      </c>
      <c r="F90" s="3" t="s">
        <v>39</v>
      </c>
      <c r="G90" s="4">
        <v>180</v>
      </c>
      <c r="H90" s="5">
        <v>43803</v>
      </c>
      <c r="I90" s="5" t="s">
        <v>28</v>
      </c>
      <c r="J90" s="3" t="s">
        <v>40</v>
      </c>
      <c r="K90" s="4">
        <v>26.25</v>
      </c>
      <c r="L90" s="3" t="s">
        <v>21</v>
      </c>
      <c r="M90" s="2" t="s">
        <v>45</v>
      </c>
      <c r="N90" s="2" t="s">
        <v>46</v>
      </c>
      <c r="O90" s="2" t="s">
        <v>41</v>
      </c>
      <c r="P90" s="6">
        <f>T_CURSOS[[#This Row],[IMPORTE PROFESOR]]+T_CURSOS[[#This Row],[IMPORTE COMERCIAL]]</f>
        <v>206.25</v>
      </c>
      <c r="Q90" s="6">
        <f>T_CURSOS[[#This Row],[IMPORTE CLIENTE]]-T_CURSOS[[#This Row],[GASTO]]</f>
        <v>168.75</v>
      </c>
      <c r="R90" s="7">
        <f>T_CURSOS[[#This Row],[BENEFICIO]]/T_CURSOS[[#This Row],[IMPORTE CLIENTE]]</f>
        <v>0.45</v>
      </c>
    </row>
    <row r="91" spans="1:18" x14ac:dyDescent="0.2">
      <c r="A91" s="2" t="s">
        <v>143</v>
      </c>
      <c r="B91" s="3" t="s">
        <v>25</v>
      </c>
      <c r="C91" s="3">
        <v>10</v>
      </c>
      <c r="D91" s="3" t="s">
        <v>38</v>
      </c>
      <c r="E91" s="4">
        <v>300</v>
      </c>
      <c r="F91" s="3" t="s">
        <v>44</v>
      </c>
      <c r="G91" s="4">
        <v>120</v>
      </c>
      <c r="H91" s="5">
        <v>43759</v>
      </c>
      <c r="I91" s="5" t="s">
        <v>28</v>
      </c>
      <c r="J91" s="3" t="s">
        <v>29</v>
      </c>
      <c r="K91" s="4">
        <v>24</v>
      </c>
      <c r="L91" s="3" t="s">
        <v>21</v>
      </c>
      <c r="M91" s="2" t="s">
        <v>30</v>
      </c>
      <c r="N91" s="2" t="s">
        <v>104</v>
      </c>
      <c r="O91" s="2" t="s">
        <v>21</v>
      </c>
      <c r="P91" s="6">
        <f>T_CURSOS[[#This Row],[IMPORTE PROFESOR]]+T_CURSOS[[#This Row],[IMPORTE COMERCIAL]]</f>
        <v>144</v>
      </c>
      <c r="Q91" s="6">
        <f>T_CURSOS[[#This Row],[IMPORTE CLIENTE]]-T_CURSOS[[#This Row],[GASTO]]</f>
        <v>156</v>
      </c>
      <c r="R91" s="7">
        <f>T_CURSOS[[#This Row],[BENEFICIO]]/T_CURSOS[[#This Row],[IMPORTE CLIENTE]]</f>
        <v>0.52</v>
      </c>
    </row>
    <row r="92" spans="1:18" x14ac:dyDescent="0.2">
      <c r="A92" s="2" t="s">
        <v>144</v>
      </c>
      <c r="B92" s="3" t="s">
        <v>25</v>
      </c>
      <c r="C92" s="3">
        <v>12</v>
      </c>
      <c r="D92" s="3" t="s">
        <v>34</v>
      </c>
      <c r="E92" s="4">
        <v>360</v>
      </c>
      <c r="F92" s="3" t="s">
        <v>27</v>
      </c>
      <c r="G92" s="4">
        <v>144</v>
      </c>
      <c r="H92" s="5">
        <v>43569</v>
      </c>
      <c r="I92" s="5" t="s">
        <v>28</v>
      </c>
      <c r="J92" s="3" t="s">
        <v>36</v>
      </c>
      <c r="K92" s="4">
        <v>28.8</v>
      </c>
      <c r="L92" s="3" t="s">
        <v>21</v>
      </c>
      <c r="M92" s="2" t="s">
        <v>22</v>
      </c>
      <c r="N92" s="2" t="s">
        <v>23</v>
      </c>
      <c r="O92" s="2" t="s">
        <v>21</v>
      </c>
      <c r="P92" s="6">
        <f>T_CURSOS[[#This Row],[IMPORTE PROFESOR]]+T_CURSOS[[#This Row],[IMPORTE COMERCIAL]]</f>
        <v>172.8</v>
      </c>
      <c r="Q92" s="6">
        <f>T_CURSOS[[#This Row],[IMPORTE CLIENTE]]-T_CURSOS[[#This Row],[GASTO]]</f>
        <v>187.2</v>
      </c>
      <c r="R92" s="7">
        <f>T_CURSOS[[#This Row],[BENEFICIO]]/T_CURSOS[[#This Row],[IMPORTE CLIENTE]]</f>
        <v>0.52</v>
      </c>
    </row>
    <row r="93" spans="1:18" x14ac:dyDescent="0.2">
      <c r="A93" s="2" t="s">
        <v>145</v>
      </c>
      <c r="B93" s="3" t="s">
        <v>25</v>
      </c>
      <c r="C93" s="3">
        <v>15</v>
      </c>
      <c r="D93" s="3" t="s">
        <v>38</v>
      </c>
      <c r="E93" s="4">
        <v>450</v>
      </c>
      <c r="F93" s="3" t="s">
        <v>35</v>
      </c>
      <c r="G93" s="4">
        <v>180</v>
      </c>
      <c r="H93" s="5">
        <v>44063</v>
      </c>
      <c r="I93" s="5" t="s">
        <v>28</v>
      </c>
      <c r="J93" s="3" t="s">
        <v>40</v>
      </c>
      <c r="K93" s="4">
        <v>36</v>
      </c>
      <c r="L93" s="3" t="s">
        <v>21</v>
      </c>
      <c r="M93" s="2" t="s">
        <v>30</v>
      </c>
      <c r="N93" s="2" t="s">
        <v>104</v>
      </c>
      <c r="O93" s="2" t="s">
        <v>41</v>
      </c>
      <c r="P93" s="6">
        <f>T_CURSOS[[#This Row],[IMPORTE PROFESOR]]+T_CURSOS[[#This Row],[IMPORTE COMERCIAL]]</f>
        <v>216</v>
      </c>
      <c r="Q93" s="6">
        <f>T_CURSOS[[#This Row],[IMPORTE CLIENTE]]-T_CURSOS[[#This Row],[GASTO]]</f>
        <v>234</v>
      </c>
      <c r="R93" s="7">
        <f>T_CURSOS[[#This Row],[BENEFICIO]]/T_CURSOS[[#This Row],[IMPORTE CLIENTE]]</f>
        <v>0.52</v>
      </c>
    </row>
    <row r="94" spans="1:18" x14ac:dyDescent="0.2">
      <c r="A94" s="2" t="s">
        <v>146</v>
      </c>
      <c r="B94" s="3" t="s">
        <v>53</v>
      </c>
      <c r="C94" s="3">
        <v>25</v>
      </c>
      <c r="D94" s="3" t="s">
        <v>51</v>
      </c>
      <c r="E94" s="4">
        <v>625</v>
      </c>
      <c r="F94" s="3" t="s">
        <v>39</v>
      </c>
      <c r="G94" s="4">
        <v>300</v>
      </c>
      <c r="H94" s="5">
        <v>44420</v>
      </c>
      <c r="I94" s="5" t="s">
        <v>57</v>
      </c>
      <c r="J94" s="3" t="s">
        <v>20</v>
      </c>
      <c r="K94" s="4">
        <v>31.25</v>
      </c>
      <c r="L94" s="3" t="s">
        <v>21</v>
      </c>
      <c r="M94" s="2" t="s">
        <v>45</v>
      </c>
      <c r="N94" s="2" t="s">
        <v>46</v>
      </c>
      <c r="O94" s="2" t="s">
        <v>41</v>
      </c>
      <c r="P94" s="6">
        <f>T_CURSOS[[#This Row],[IMPORTE PROFESOR]]+T_CURSOS[[#This Row],[IMPORTE COMERCIAL]]</f>
        <v>331.25</v>
      </c>
      <c r="Q94" s="6">
        <f>T_CURSOS[[#This Row],[IMPORTE CLIENTE]]-T_CURSOS[[#This Row],[GASTO]]</f>
        <v>293.75</v>
      </c>
      <c r="R94" s="7">
        <f>T_CURSOS[[#This Row],[BENEFICIO]]/T_CURSOS[[#This Row],[IMPORTE CLIENTE]]</f>
        <v>0.47</v>
      </c>
    </row>
    <row r="95" spans="1:18" x14ac:dyDescent="0.2">
      <c r="A95" s="2" t="s">
        <v>147</v>
      </c>
      <c r="B95" s="3" t="s">
        <v>55</v>
      </c>
      <c r="C95" s="3">
        <v>15</v>
      </c>
      <c r="D95" s="3" t="s">
        <v>34</v>
      </c>
      <c r="E95" s="4">
        <v>375</v>
      </c>
      <c r="F95" s="3" t="s">
        <v>44</v>
      </c>
      <c r="G95" s="4">
        <v>180</v>
      </c>
      <c r="H95" s="5">
        <v>44232</v>
      </c>
      <c r="I95" s="5" t="s">
        <v>57</v>
      </c>
      <c r="J95" s="3" t="s">
        <v>29</v>
      </c>
      <c r="K95" s="4">
        <v>18.75</v>
      </c>
      <c r="L95" s="3" t="s">
        <v>21</v>
      </c>
      <c r="M95" s="2" t="s">
        <v>22</v>
      </c>
      <c r="N95" s="2" t="s">
        <v>73</v>
      </c>
      <c r="O95" s="2" t="s">
        <v>21</v>
      </c>
      <c r="P95" s="6">
        <f>T_CURSOS[[#This Row],[IMPORTE PROFESOR]]+T_CURSOS[[#This Row],[IMPORTE COMERCIAL]]</f>
        <v>198.75</v>
      </c>
      <c r="Q95" s="6">
        <f>T_CURSOS[[#This Row],[IMPORTE CLIENTE]]-T_CURSOS[[#This Row],[GASTO]]</f>
        <v>176.25</v>
      </c>
      <c r="R95" s="7">
        <f>T_CURSOS[[#This Row],[BENEFICIO]]/T_CURSOS[[#This Row],[IMPORTE CLIENTE]]</f>
        <v>0.47</v>
      </c>
    </row>
    <row r="96" spans="1:18" x14ac:dyDescent="0.2">
      <c r="A96" s="2" t="s">
        <v>148</v>
      </c>
      <c r="B96" s="3" t="s">
        <v>55</v>
      </c>
      <c r="C96" s="3">
        <v>20</v>
      </c>
      <c r="D96" s="3" t="s">
        <v>56</v>
      </c>
      <c r="E96" s="4">
        <v>500</v>
      </c>
      <c r="F96" s="3" t="s">
        <v>27</v>
      </c>
      <c r="G96" s="4">
        <v>240</v>
      </c>
      <c r="H96" s="5">
        <v>43857</v>
      </c>
      <c r="I96" s="5" t="s">
        <v>57</v>
      </c>
      <c r="J96" s="3" t="s">
        <v>36</v>
      </c>
      <c r="K96" s="4">
        <v>25</v>
      </c>
      <c r="L96" s="3" t="s">
        <v>21</v>
      </c>
      <c r="M96" s="2" t="s">
        <v>22</v>
      </c>
      <c r="N96" s="2" t="s">
        <v>73</v>
      </c>
      <c r="O96" s="2" t="s">
        <v>21</v>
      </c>
      <c r="P96" s="6">
        <f>T_CURSOS[[#This Row],[IMPORTE PROFESOR]]+T_CURSOS[[#This Row],[IMPORTE COMERCIAL]]</f>
        <v>265</v>
      </c>
      <c r="Q96" s="6">
        <f>T_CURSOS[[#This Row],[IMPORTE CLIENTE]]-T_CURSOS[[#This Row],[GASTO]]</f>
        <v>235</v>
      </c>
      <c r="R96" s="7">
        <f>T_CURSOS[[#This Row],[BENEFICIO]]/T_CURSOS[[#This Row],[IMPORTE CLIENTE]]</f>
        <v>0.47</v>
      </c>
    </row>
    <row r="97" spans="1:18" x14ac:dyDescent="0.2">
      <c r="A97" s="2" t="s">
        <v>149</v>
      </c>
      <c r="B97" s="3" t="s">
        <v>55</v>
      </c>
      <c r="C97" s="3">
        <v>20</v>
      </c>
      <c r="D97" s="3" t="s">
        <v>43</v>
      </c>
      <c r="E97" s="4">
        <v>500</v>
      </c>
      <c r="F97" s="3" t="s">
        <v>35</v>
      </c>
      <c r="G97" s="4">
        <v>240</v>
      </c>
      <c r="H97" s="5">
        <v>44030</v>
      </c>
      <c r="I97" s="5" t="s">
        <v>57</v>
      </c>
      <c r="J97" s="3" t="s">
        <v>20</v>
      </c>
      <c r="K97" s="4">
        <v>25</v>
      </c>
      <c r="L97" s="3" t="s">
        <v>41</v>
      </c>
      <c r="M97" s="2" t="s">
        <v>45</v>
      </c>
      <c r="N97" s="2" t="s">
        <v>46</v>
      </c>
      <c r="O97" s="2" t="s">
        <v>41</v>
      </c>
      <c r="P97" s="6">
        <f>T_CURSOS[[#This Row],[IMPORTE PROFESOR]]+T_CURSOS[[#This Row],[IMPORTE COMERCIAL]]</f>
        <v>265</v>
      </c>
      <c r="Q97" s="6">
        <f>T_CURSOS[[#This Row],[IMPORTE CLIENTE]]-T_CURSOS[[#This Row],[GASTO]]</f>
        <v>235</v>
      </c>
      <c r="R97" s="7">
        <f>T_CURSOS[[#This Row],[BENEFICIO]]/T_CURSOS[[#This Row],[IMPORTE CLIENTE]]</f>
        <v>0.47</v>
      </c>
    </row>
    <row r="98" spans="1:18" x14ac:dyDescent="0.2">
      <c r="A98" s="2" t="s">
        <v>150</v>
      </c>
      <c r="B98" s="3" t="s">
        <v>53</v>
      </c>
      <c r="C98" s="3">
        <v>30</v>
      </c>
      <c r="D98" s="3" t="s">
        <v>51</v>
      </c>
      <c r="E98" s="4">
        <v>750</v>
      </c>
      <c r="F98" s="3" t="s">
        <v>39</v>
      </c>
      <c r="G98" s="4">
        <v>360</v>
      </c>
      <c r="H98" s="5">
        <v>44042</v>
      </c>
      <c r="I98" s="5" t="s">
        <v>57</v>
      </c>
      <c r="J98" s="3" t="s">
        <v>29</v>
      </c>
      <c r="K98" s="4">
        <v>37.5</v>
      </c>
      <c r="L98" s="3" t="s">
        <v>41</v>
      </c>
      <c r="M98" s="2" t="s">
        <v>45</v>
      </c>
      <c r="N98" s="2" t="s">
        <v>46</v>
      </c>
      <c r="O98" s="2" t="s">
        <v>21</v>
      </c>
      <c r="P98" s="6">
        <f>T_CURSOS[[#This Row],[IMPORTE PROFESOR]]+T_CURSOS[[#This Row],[IMPORTE COMERCIAL]]</f>
        <v>397.5</v>
      </c>
      <c r="Q98" s="6">
        <f>T_CURSOS[[#This Row],[IMPORTE CLIENTE]]-T_CURSOS[[#This Row],[GASTO]]</f>
        <v>352.5</v>
      </c>
      <c r="R98" s="7">
        <f>T_CURSOS[[#This Row],[BENEFICIO]]/T_CURSOS[[#This Row],[IMPORTE CLIENTE]]</f>
        <v>0.47</v>
      </c>
    </row>
    <row r="99" spans="1:18" x14ac:dyDescent="0.2">
      <c r="A99" s="2" t="s">
        <v>151</v>
      </c>
      <c r="B99" s="3" t="s">
        <v>63</v>
      </c>
      <c r="C99" s="3">
        <v>35</v>
      </c>
      <c r="D99" s="3" t="s">
        <v>61</v>
      </c>
      <c r="E99" s="4">
        <v>2625</v>
      </c>
      <c r="F99" s="3" t="s">
        <v>18</v>
      </c>
      <c r="G99" s="4">
        <v>420</v>
      </c>
      <c r="H99" s="5">
        <v>43996</v>
      </c>
      <c r="I99" s="5" t="s">
        <v>28</v>
      </c>
      <c r="J99" s="3" t="s">
        <v>36</v>
      </c>
      <c r="K99" s="4">
        <v>393.75</v>
      </c>
      <c r="L99" s="3" t="s">
        <v>21</v>
      </c>
      <c r="M99" s="2" t="s">
        <v>22</v>
      </c>
      <c r="N99" s="2" t="s">
        <v>73</v>
      </c>
      <c r="O99" s="2" t="s">
        <v>21</v>
      </c>
      <c r="P99" s="6">
        <f>T_CURSOS[[#This Row],[IMPORTE PROFESOR]]+T_CURSOS[[#This Row],[IMPORTE COMERCIAL]]</f>
        <v>813.75</v>
      </c>
      <c r="Q99" s="6">
        <f>T_CURSOS[[#This Row],[IMPORTE CLIENTE]]-T_CURSOS[[#This Row],[GASTO]]</f>
        <v>1811.25</v>
      </c>
      <c r="R99" s="7">
        <f>T_CURSOS[[#This Row],[BENEFICIO]]/T_CURSOS[[#This Row],[IMPORTE CLIENTE]]</f>
        <v>0.69</v>
      </c>
    </row>
    <row r="100" spans="1:18" x14ac:dyDescent="0.2">
      <c r="A100" s="2" t="s">
        <v>152</v>
      </c>
      <c r="B100" s="3" t="s">
        <v>65</v>
      </c>
      <c r="C100" s="3">
        <v>40</v>
      </c>
      <c r="D100" s="3" t="s">
        <v>38</v>
      </c>
      <c r="E100" s="4">
        <v>2400</v>
      </c>
      <c r="F100" s="3" t="s">
        <v>27</v>
      </c>
      <c r="G100" s="4">
        <v>480</v>
      </c>
      <c r="H100" s="5">
        <v>44401</v>
      </c>
      <c r="I100" s="5" t="s">
        <v>19</v>
      </c>
      <c r="J100" s="3" t="s">
        <v>40</v>
      </c>
      <c r="K100" s="4">
        <v>288</v>
      </c>
      <c r="L100" s="3" t="s">
        <v>41</v>
      </c>
      <c r="M100" s="2" t="s">
        <v>30</v>
      </c>
      <c r="N100" s="2" t="s">
        <v>104</v>
      </c>
      <c r="O100" s="2" t="s">
        <v>41</v>
      </c>
      <c r="P100" s="6">
        <f>T_CURSOS[[#This Row],[IMPORTE PROFESOR]]+T_CURSOS[[#This Row],[IMPORTE COMERCIAL]]</f>
        <v>768</v>
      </c>
      <c r="Q100" s="6">
        <f>T_CURSOS[[#This Row],[IMPORTE CLIENTE]]-T_CURSOS[[#This Row],[GASTO]]</f>
        <v>1632</v>
      </c>
      <c r="R100" s="7">
        <f>T_CURSOS[[#This Row],[BENEFICIO]]/T_CURSOS[[#This Row],[IMPORTE CLIENTE]]</f>
        <v>0.68</v>
      </c>
    </row>
    <row r="101" spans="1:18" x14ac:dyDescent="0.2">
      <c r="A101" s="2" t="s">
        <v>153</v>
      </c>
      <c r="B101" s="3" t="s">
        <v>65</v>
      </c>
      <c r="C101" s="3">
        <v>40</v>
      </c>
      <c r="D101" s="3" t="s">
        <v>43</v>
      </c>
      <c r="E101" s="4">
        <v>2400</v>
      </c>
      <c r="F101" s="3" t="s">
        <v>35</v>
      </c>
      <c r="G101" s="4">
        <v>480</v>
      </c>
      <c r="H101" s="5">
        <v>44045</v>
      </c>
      <c r="I101" s="5" t="s">
        <v>28</v>
      </c>
      <c r="J101" s="3" t="s">
        <v>20</v>
      </c>
      <c r="K101" s="4">
        <v>288</v>
      </c>
      <c r="L101" s="3" t="s">
        <v>21</v>
      </c>
      <c r="M101" s="2" t="s">
        <v>45</v>
      </c>
      <c r="N101" s="2" t="s">
        <v>46</v>
      </c>
      <c r="O101" s="2" t="s">
        <v>21</v>
      </c>
      <c r="P101" s="6">
        <f>T_CURSOS[[#This Row],[IMPORTE PROFESOR]]+T_CURSOS[[#This Row],[IMPORTE COMERCIAL]]</f>
        <v>768</v>
      </c>
      <c r="Q101" s="6">
        <f>T_CURSOS[[#This Row],[IMPORTE CLIENTE]]-T_CURSOS[[#This Row],[GASTO]]</f>
        <v>1632</v>
      </c>
      <c r="R101" s="7">
        <f>T_CURSOS[[#This Row],[BENEFICIO]]/T_CURSOS[[#This Row],[IMPORTE CLIENTE]]</f>
        <v>0.68</v>
      </c>
    </row>
    <row r="102" spans="1:18" x14ac:dyDescent="0.2">
      <c r="A102" s="2" t="s">
        <v>154</v>
      </c>
      <c r="B102" s="3" t="s">
        <v>65</v>
      </c>
      <c r="C102" s="3">
        <v>35</v>
      </c>
      <c r="D102" s="3" t="s">
        <v>51</v>
      </c>
      <c r="E102" s="4">
        <v>2100</v>
      </c>
      <c r="F102" s="3" t="s">
        <v>35</v>
      </c>
      <c r="G102" s="4">
        <v>420</v>
      </c>
      <c r="H102" s="5">
        <v>44205</v>
      </c>
      <c r="I102" s="5" t="s">
        <v>19</v>
      </c>
      <c r="J102" s="3" t="s">
        <v>29</v>
      </c>
      <c r="K102" s="4">
        <v>252</v>
      </c>
      <c r="L102" s="3" t="s">
        <v>21</v>
      </c>
      <c r="M102" s="2" t="s">
        <v>45</v>
      </c>
      <c r="N102" s="2" t="s">
        <v>46</v>
      </c>
      <c r="O102" s="2" t="s">
        <v>21</v>
      </c>
      <c r="P102" s="6">
        <f>T_CURSOS[[#This Row],[IMPORTE PROFESOR]]+T_CURSOS[[#This Row],[IMPORTE COMERCIAL]]</f>
        <v>672</v>
      </c>
      <c r="Q102" s="6">
        <f>T_CURSOS[[#This Row],[IMPORTE CLIENTE]]-T_CURSOS[[#This Row],[GASTO]]</f>
        <v>1428</v>
      </c>
      <c r="R102" s="7">
        <f>T_CURSOS[[#This Row],[BENEFICIO]]/T_CURSOS[[#This Row],[IMPORTE CLIENTE]]</f>
        <v>0.68</v>
      </c>
    </row>
    <row r="103" spans="1:18" x14ac:dyDescent="0.2">
      <c r="A103" s="2" t="s">
        <v>155</v>
      </c>
      <c r="B103" s="3" t="s">
        <v>33</v>
      </c>
      <c r="C103" s="3">
        <v>15</v>
      </c>
      <c r="D103" s="3" t="s">
        <v>34</v>
      </c>
      <c r="E103" s="4">
        <v>600</v>
      </c>
      <c r="F103" s="3" t="s">
        <v>39</v>
      </c>
      <c r="G103" s="4">
        <v>180</v>
      </c>
      <c r="H103" s="5">
        <v>43784</v>
      </c>
      <c r="I103" s="5" t="s">
        <v>19</v>
      </c>
      <c r="J103" s="3" t="s">
        <v>36</v>
      </c>
      <c r="K103" s="4">
        <v>60</v>
      </c>
      <c r="L103" s="3" t="s">
        <v>21</v>
      </c>
      <c r="M103" s="2" t="s">
        <v>22</v>
      </c>
      <c r="N103" s="2" t="s">
        <v>73</v>
      </c>
      <c r="O103" s="2" t="s">
        <v>21</v>
      </c>
      <c r="P103" s="6">
        <f>T_CURSOS[[#This Row],[IMPORTE PROFESOR]]+T_CURSOS[[#This Row],[IMPORTE COMERCIAL]]</f>
        <v>240</v>
      </c>
      <c r="Q103" s="6">
        <f>T_CURSOS[[#This Row],[IMPORTE CLIENTE]]-T_CURSOS[[#This Row],[GASTO]]</f>
        <v>360</v>
      </c>
      <c r="R103" s="7">
        <f>T_CURSOS[[#This Row],[BENEFICIO]]/T_CURSOS[[#This Row],[IMPORTE CLIENTE]]</f>
        <v>0.6</v>
      </c>
    </row>
    <row r="104" spans="1:18" x14ac:dyDescent="0.2">
      <c r="A104" s="2" t="s">
        <v>156</v>
      </c>
      <c r="B104" s="3" t="s">
        <v>33</v>
      </c>
      <c r="C104" s="3">
        <v>20</v>
      </c>
      <c r="D104" s="3" t="s">
        <v>56</v>
      </c>
      <c r="E104" s="4">
        <v>800</v>
      </c>
      <c r="F104" s="3" t="s">
        <v>44</v>
      </c>
      <c r="G104" s="4">
        <v>240</v>
      </c>
      <c r="H104" s="5">
        <v>44545</v>
      </c>
      <c r="I104" s="5" t="s">
        <v>19</v>
      </c>
      <c r="J104" s="3" t="s">
        <v>40</v>
      </c>
      <c r="K104" s="4">
        <v>80</v>
      </c>
      <c r="L104" s="3" t="s">
        <v>21</v>
      </c>
      <c r="M104" s="2" t="s">
        <v>22</v>
      </c>
      <c r="N104" s="2" t="s">
        <v>101</v>
      </c>
      <c r="O104" s="2" t="s">
        <v>21</v>
      </c>
      <c r="P104" s="6">
        <f>T_CURSOS[[#This Row],[IMPORTE PROFESOR]]+T_CURSOS[[#This Row],[IMPORTE COMERCIAL]]</f>
        <v>320</v>
      </c>
      <c r="Q104" s="6">
        <f>T_CURSOS[[#This Row],[IMPORTE CLIENTE]]-T_CURSOS[[#This Row],[GASTO]]</f>
        <v>480</v>
      </c>
      <c r="R104" s="7">
        <f>T_CURSOS[[#This Row],[BENEFICIO]]/T_CURSOS[[#This Row],[IMPORTE CLIENTE]]</f>
        <v>0.6</v>
      </c>
    </row>
    <row r="105" spans="1:18" x14ac:dyDescent="0.2">
      <c r="A105" s="2" t="s">
        <v>157</v>
      </c>
      <c r="B105" s="3" t="s">
        <v>33</v>
      </c>
      <c r="C105" s="3">
        <v>18</v>
      </c>
      <c r="D105" s="3" t="s">
        <v>56</v>
      </c>
      <c r="E105" s="4">
        <v>720</v>
      </c>
      <c r="F105" s="3" t="s">
        <v>27</v>
      </c>
      <c r="G105" s="4">
        <v>216</v>
      </c>
      <c r="H105" s="5">
        <v>43931</v>
      </c>
      <c r="I105" s="5" t="s">
        <v>19</v>
      </c>
      <c r="J105" s="3" t="s">
        <v>29</v>
      </c>
      <c r="K105" s="4">
        <v>72</v>
      </c>
      <c r="L105" s="3" t="s">
        <v>21</v>
      </c>
      <c r="M105" s="2" t="s">
        <v>22</v>
      </c>
      <c r="N105" s="2" t="s">
        <v>101</v>
      </c>
      <c r="O105" s="2" t="s">
        <v>21</v>
      </c>
      <c r="P105" s="6">
        <f>T_CURSOS[[#This Row],[IMPORTE PROFESOR]]+T_CURSOS[[#This Row],[IMPORTE COMERCIAL]]</f>
        <v>288</v>
      </c>
      <c r="Q105" s="6">
        <f>T_CURSOS[[#This Row],[IMPORTE CLIENTE]]-T_CURSOS[[#This Row],[GASTO]]</f>
        <v>432</v>
      </c>
      <c r="R105" s="7">
        <f>T_CURSOS[[#This Row],[BENEFICIO]]/T_CURSOS[[#This Row],[IMPORTE CLIENTE]]</f>
        <v>0.6</v>
      </c>
    </row>
    <row r="106" spans="1:18" x14ac:dyDescent="0.2">
      <c r="A106" s="2" t="s">
        <v>158</v>
      </c>
      <c r="B106" s="3" t="s">
        <v>33</v>
      </c>
      <c r="C106" s="3">
        <v>25</v>
      </c>
      <c r="D106" s="3" t="s">
        <v>51</v>
      </c>
      <c r="E106" s="4">
        <v>1000</v>
      </c>
      <c r="F106" s="3" t="s">
        <v>35</v>
      </c>
      <c r="G106" s="4">
        <v>300</v>
      </c>
      <c r="H106" s="5">
        <v>43769</v>
      </c>
      <c r="I106" s="5" t="s">
        <v>28</v>
      </c>
      <c r="J106" s="3" t="s">
        <v>36</v>
      </c>
      <c r="K106" s="4">
        <v>100</v>
      </c>
      <c r="L106" s="3" t="s">
        <v>41</v>
      </c>
      <c r="M106" s="2" t="s">
        <v>45</v>
      </c>
      <c r="N106" s="2" t="s">
        <v>82</v>
      </c>
      <c r="O106" s="2" t="s">
        <v>21</v>
      </c>
      <c r="P106" s="6">
        <f>T_CURSOS[[#This Row],[IMPORTE PROFESOR]]+T_CURSOS[[#This Row],[IMPORTE COMERCIAL]]</f>
        <v>400</v>
      </c>
      <c r="Q106" s="6">
        <f>T_CURSOS[[#This Row],[IMPORTE CLIENTE]]-T_CURSOS[[#This Row],[GASTO]]</f>
        <v>600</v>
      </c>
      <c r="R106" s="7">
        <f>T_CURSOS[[#This Row],[BENEFICIO]]/T_CURSOS[[#This Row],[IMPORTE CLIENTE]]</f>
        <v>0.6</v>
      </c>
    </row>
    <row r="107" spans="1:18" x14ac:dyDescent="0.2">
      <c r="A107" s="2" t="s">
        <v>159</v>
      </c>
      <c r="B107" s="3" t="s">
        <v>25</v>
      </c>
      <c r="C107" s="3">
        <v>20</v>
      </c>
      <c r="D107" s="3" t="s">
        <v>43</v>
      </c>
      <c r="E107" s="4">
        <v>600</v>
      </c>
      <c r="F107" s="3" t="s">
        <v>39</v>
      </c>
      <c r="G107" s="4">
        <v>240</v>
      </c>
      <c r="H107" s="5">
        <v>44399</v>
      </c>
      <c r="I107" s="5" t="s">
        <v>28</v>
      </c>
      <c r="J107" s="3" t="s">
        <v>40</v>
      </c>
      <c r="K107" s="4">
        <v>48</v>
      </c>
      <c r="L107" s="3" t="s">
        <v>41</v>
      </c>
      <c r="M107" s="2" t="s">
        <v>45</v>
      </c>
      <c r="N107" s="2" t="s">
        <v>82</v>
      </c>
      <c r="O107" s="2" t="s">
        <v>21</v>
      </c>
      <c r="P107" s="6">
        <f>T_CURSOS[[#This Row],[IMPORTE PROFESOR]]+T_CURSOS[[#This Row],[IMPORTE COMERCIAL]]</f>
        <v>288</v>
      </c>
      <c r="Q107" s="6">
        <f>T_CURSOS[[#This Row],[IMPORTE CLIENTE]]-T_CURSOS[[#This Row],[GASTO]]</f>
        <v>312</v>
      </c>
      <c r="R107" s="7">
        <f>T_CURSOS[[#This Row],[BENEFICIO]]/T_CURSOS[[#This Row],[IMPORTE CLIENTE]]</f>
        <v>0.52</v>
      </c>
    </row>
    <row r="108" spans="1:18" x14ac:dyDescent="0.2">
      <c r="A108" s="2" t="s">
        <v>160</v>
      </c>
      <c r="B108" s="3" t="s">
        <v>53</v>
      </c>
      <c r="C108" s="3">
        <v>10</v>
      </c>
      <c r="D108" s="3" t="s">
        <v>61</v>
      </c>
      <c r="E108" s="4">
        <v>300</v>
      </c>
      <c r="F108" s="3" t="s">
        <v>18</v>
      </c>
      <c r="G108" s="4">
        <v>120</v>
      </c>
      <c r="H108" s="5">
        <v>44197</v>
      </c>
      <c r="I108" s="5" t="s">
        <v>28</v>
      </c>
      <c r="J108" s="3" t="s">
        <v>20</v>
      </c>
      <c r="K108" s="4">
        <v>24</v>
      </c>
      <c r="L108" s="3" t="s">
        <v>21</v>
      </c>
      <c r="M108" s="2" t="s">
        <v>22</v>
      </c>
      <c r="N108" s="2" t="s">
        <v>101</v>
      </c>
      <c r="O108" s="2" t="s">
        <v>21</v>
      </c>
      <c r="P108" s="6">
        <f>T_CURSOS[[#This Row],[IMPORTE PROFESOR]]+T_CURSOS[[#This Row],[IMPORTE COMERCIAL]]</f>
        <v>144</v>
      </c>
      <c r="Q108" s="6">
        <f>T_CURSOS[[#This Row],[IMPORTE CLIENTE]]-T_CURSOS[[#This Row],[GASTO]]</f>
        <v>156</v>
      </c>
      <c r="R108" s="7">
        <f>T_CURSOS[[#This Row],[BENEFICIO]]/T_CURSOS[[#This Row],[IMPORTE CLIENTE]]</f>
        <v>0.52</v>
      </c>
    </row>
    <row r="109" spans="1:18" x14ac:dyDescent="0.2">
      <c r="A109" s="2" t="s">
        <v>161</v>
      </c>
      <c r="B109" s="3" t="s">
        <v>55</v>
      </c>
      <c r="C109" s="3">
        <v>12</v>
      </c>
      <c r="D109" s="3" t="s">
        <v>61</v>
      </c>
      <c r="E109" s="4">
        <v>360</v>
      </c>
      <c r="F109" s="3" t="s">
        <v>27</v>
      </c>
      <c r="G109" s="4">
        <v>144</v>
      </c>
      <c r="H109" s="5">
        <v>44298</v>
      </c>
      <c r="I109" s="5" t="s">
        <v>28</v>
      </c>
      <c r="J109" s="3" t="s">
        <v>29</v>
      </c>
      <c r="K109" s="4">
        <v>28.8</v>
      </c>
      <c r="L109" s="3" t="s">
        <v>21</v>
      </c>
      <c r="M109" s="2" t="s">
        <v>22</v>
      </c>
      <c r="N109" s="2" t="s">
        <v>101</v>
      </c>
      <c r="O109" s="2" t="s">
        <v>21</v>
      </c>
      <c r="P109" s="6">
        <f>T_CURSOS[[#This Row],[IMPORTE PROFESOR]]+T_CURSOS[[#This Row],[IMPORTE COMERCIAL]]</f>
        <v>172.8</v>
      </c>
      <c r="Q109" s="6">
        <f>T_CURSOS[[#This Row],[IMPORTE CLIENTE]]-T_CURSOS[[#This Row],[GASTO]]</f>
        <v>187.2</v>
      </c>
      <c r="R109" s="7">
        <f>T_CURSOS[[#This Row],[BENEFICIO]]/T_CURSOS[[#This Row],[IMPORTE CLIENTE]]</f>
        <v>0.52</v>
      </c>
    </row>
    <row r="110" spans="1:18" x14ac:dyDescent="0.2">
      <c r="A110" s="2" t="s">
        <v>162</v>
      </c>
      <c r="B110" s="3" t="s">
        <v>55</v>
      </c>
      <c r="C110" s="3">
        <v>15</v>
      </c>
      <c r="D110" s="3" t="s">
        <v>56</v>
      </c>
      <c r="E110" s="4">
        <v>375</v>
      </c>
      <c r="F110" s="3" t="s">
        <v>35</v>
      </c>
      <c r="G110" s="4">
        <v>180</v>
      </c>
      <c r="H110" s="5">
        <v>43968</v>
      </c>
      <c r="I110" s="5" t="s">
        <v>57</v>
      </c>
      <c r="J110" s="3" t="s">
        <v>36</v>
      </c>
      <c r="K110" s="4">
        <v>26.25</v>
      </c>
      <c r="L110" s="3" t="s">
        <v>21</v>
      </c>
      <c r="M110" s="2" t="s">
        <v>22</v>
      </c>
      <c r="N110" s="2" t="s">
        <v>101</v>
      </c>
      <c r="O110" s="2" t="s">
        <v>21</v>
      </c>
      <c r="P110" s="6">
        <f>T_CURSOS[[#This Row],[IMPORTE PROFESOR]]+T_CURSOS[[#This Row],[IMPORTE COMERCIAL]]</f>
        <v>206.25</v>
      </c>
      <c r="Q110" s="6">
        <f>T_CURSOS[[#This Row],[IMPORTE CLIENTE]]-T_CURSOS[[#This Row],[GASTO]]</f>
        <v>168.75</v>
      </c>
      <c r="R110" s="7">
        <f>T_CURSOS[[#This Row],[BENEFICIO]]/T_CURSOS[[#This Row],[IMPORTE CLIENTE]]</f>
        <v>0.45</v>
      </c>
    </row>
    <row r="111" spans="1:18" x14ac:dyDescent="0.2">
      <c r="A111" s="2" t="s">
        <v>163</v>
      </c>
      <c r="B111" s="3" t="s">
        <v>55</v>
      </c>
      <c r="C111" s="3">
        <v>20</v>
      </c>
      <c r="D111" s="3" t="s">
        <v>43</v>
      </c>
      <c r="E111" s="4">
        <v>500</v>
      </c>
      <c r="F111" s="3" t="s">
        <v>39</v>
      </c>
      <c r="G111" s="4">
        <v>240</v>
      </c>
      <c r="H111" s="5">
        <v>44506</v>
      </c>
      <c r="I111" s="5" t="s">
        <v>57</v>
      </c>
      <c r="J111" s="3" t="s">
        <v>20</v>
      </c>
      <c r="K111" s="4">
        <v>35</v>
      </c>
      <c r="L111" s="3" t="s">
        <v>41</v>
      </c>
      <c r="M111" s="2" t="s">
        <v>45</v>
      </c>
      <c r="N111" s="2" t="s">
        <v>82</v>
      </c>
      <c r="O111" s="2" t="s">
        <v>41</v>
      </c>
      <c r="P111" s="6">
        <f>T_CURSOS[[#This Row],[IMPORTE PROFESOR]]+T_CURSOS[[#This Row],[IMPORTE COMERCIAL]]</f>
        <v>275</v>
      </c>
      <c r="Q111" s="6">
        <f>T_CURSOS[[#This Row],[IMPORTE CLIENTE]]-T_CURSOS[[#This Row],[GASTO]]</f>
        <v>225</v>
      </c>
      <c r="R111" s="7">
        <f>T_CURSOS[[#This Row],[BENEFICIO]]/T_CURSOS[[#This Row],[IMPORTE CLIENTE]]</f>
        <v>0.45</v>
      </c>
    </row>
    <row r="112" spans="1:18" x14ac:dyDescent="0.2">
      <c r="A112" s="2" t="s">
        <v>164</v>
      </c>
      <c r="B112" s="3" t="s">
        <v>53</v>
      </c>
      <c r="C112" s="3">
        <v>25</v>
      </c>
      <c r="D112" s="3" t="s">
        <v>38</v>
      </c>
      <c r="E112" s="4">
        <v>625</v>
      </c>
      <c r="F112" s="3" t="s">
        <v>44</v>
      </c>
      <c r="G112" s="4">
        <v>300</v>
      </c>
      <c r="H112" s="5">
        <v>43573</v>
      </c>
      <c r="I112" s="5" t="s">
        <v>57</v>
      </c>
      <c r="J112" s="3" t="s">
        <v>29</v>
      </c>
      <c r="K112" s="4">
        <v>43.75</v>
      </c>
      <c r="L112" s="3" t="s">
        <v>21</v>
      </c>
      <c r="M112" s="2" t="s">
        <v>30</v>
      </c>
      <c r="N112" s="2" t="s">
        <v>104</v>
      </c>
      <c r="O112" s="2" t="s">
        <v>21</v>
      </c>
      <c r="P112" s="6">
        <f>T_CURSOS[[#This Row],[IMPORTE PROFESOR]]+T_CURSOS[[#This Row],[IMPORTE COMERCIAL]]</f>
        <v>343.75</v>
      </c>
      <c r="Q112" s="6">
        <f>T_CURSOS[[#This Row],[IMPORTE CLIENTE]]-T_CURSOS[[#This Row],[GASTO]]</f>
        <v>281.25</v>
      </c>
      <c r="R112" s="7">
        <f>T_CURSOS[[#This Row],[BENEFICIO]]/T_CURSOS[[#This Row],[IMPORTE CLIENTE]]</f>
        <v>0.45</v>
      </c>
    </row>
    <row r="113" spans="1:18" x14ac:dyDescent="0.2">
      <c r="A113" s="2" t="s">
        <v>165</v>
      </c>
      <c r="B113" s="3" t="s">
        <v>63</v>
      </c>
      <c r="C113" s="3">
        <v>30</v>
      </c>
      <c r="D113" s="3" t="s">
        <v>43</v>
      </c>
      <c r="E113" s="4">
        <v>750</v>
      </c>
      <c r="F113" s="3" t="s">
        <v>27</v>
      </c>
      <c r="G113" s="4">
        <v>360</v>
      </c>
      <c r="H113" s="5">
        <v>44139</v>
      </c>
      <c r="I113" s="5" t="s">
        <v>28</v>
      </c>
      <c r="J113" s="3" t="s">
        <v>36</v>
      </c>
      <c r="K113" s="4">
        <v>52.5</v>
      </c>
      <c r="L113" s="3" t="s">
        <v>21</v>
      </c>
      <c r="M113" s="2" t="s">
        <v>45</v>
      </c>
      <c r="N113" s="2" t="s">
        <v>82</v>
      </c>
      <c r="O113" s="2" t="s">
        <v>21</v>
      </c>
      <c r="P113" s="6">
        <f>T_CURSOS[[#This Row],[IMPORTE PROFESOR]]+T_CURSOS[[#This Row],[IMPORTE COMERCIAL]]</f>
        <v>412.5</v>
      </c>
      <c r="Q113" s="6">
        <f>T_CURSOS[[#This Row],[IMPORTE CLIENTE]]-T_CURSOS[[#This Row],[GASTO]]</f>
        <v>337.5</v>
      </c>
      <c r="R113" s="7">
        <f>T_CURSOS[[#This Row],[BENEFICIO]]/T_CURSOS[[#This Row],[IMPORTE CLIENTE]]</f>
        <v>0.45</v>
      </c>
    </row>
    <row r="114" spans="1:18" x14ac:dyDescent="0.2">
      <c r="A114" s="2" t="s">
        <v>166</v>
      </c>
      <c r="B114" s="3" t="s">
        <v>65</v>
      </c>
      <c r="C114" s="3">
        <v>40</v>
      </c>
      <c r="D114" s="3" t="s">
        <v>34</v>
      </c>
      <c r="E114" s="4">
        <v>1200</v>
      </c>
      <c r="F114" s="3" t="s">
        <v>35</v>
      </c>
      <c r="G114" s="4">
        <v>480</v>
      </c>
      <c r="H114" s="5">
        <v>44454</v>
      </c>
      <c r="I114" s="5" t="s">
        <v>28</v>
      </c>
      <c r="J114" s="3" t="s">
        <v>40</v>
      </c>
      <c r="K114" s="4">
        <v>96</v>
      </c>
      <c r="L114" s="3" t="s">
        <v>41</v>
      </c>
      <c r="M114" s="2" t="s">
        <v>22</v>
      </c>
      <c r="N114" s="2" t="s">
        <v>73</v>
      </c>
      <c r="O114" s="2" t="s">
        <v>41</v>
      </c>
      <c r="P114" s="6">
        <f>T_CURSOS[[#This Row],[IMPORTE PROFESOR]]+T_CURSOS[[#This Row],[IMPORTE COMERCIAL]]</f>
        <v>576</v>
      </c>
      <c r="Q114" s="6">
        <f>T_CURSOS[[#This Row],[IMPORTE CLIENTE]]-T_CURSOS[[#This Row],[GASTO]]</f>
        <v>624</v>
      </c>
      <c r="R114" s="7">
        <f>T_CURSOS[[#This Row],[BENEFICIO]]/T_CURSOS[[#This Row],[IMPORTE CLIENTE]]</f>
        <v>0.52</v>
      </c>
    </row>
    <row r="115" spans="1:18" x14ac:dyDescent="0.2">
      <c r="A115" s="2" t="s">
        <v>167</v>
      </c>
      <c r="B115" s="3" t="s">
        <v>65</v>
      </c>
      <c r="C115" s="3">
        <v>35</v>
      </c>
      <c r="D115" s="3" t="s">
        <v>38</v>
      </c>
      <c r="E115" s="4">
        <v>1400</v>
      </c>
      <c r="F115" s="3" t="s">
        <v>39</v>
      </c>
      <c r="G115" s="4">
        <v>420</v>
      </c>
      <c r="H115" s="5">
        <v>43973</v>
      </c>
      <c r="I115" s="5" t="s">
        <v>28</v>
      </c>
      <c r="J115" s="3" t="s">
        <v>29</v>
      </c>
      <c r="K115" s="4">
        <v>140</v>
      </c>
      <c r="L115" s="3" t="s">
        <v>41</v>
      </c>
      <c r="M115" s="2" t="s">
        <v>30</v>
      </c>
      <c r="N115" s="2" t="s">
        <v>104</v>
      </c>
      <c r="O115" s="2" t="s">
        <v>21</v>
      </c>
      <c r="P115" s="6">
        <f>T_CURSOS[[#This Row],[IMPORTE PROFESOR]]+T_CURSOS[[#This Row],[IMPORTE COMERCIAL]]</f>
        <v>560</v>
      </c>
      <c r="Q115" s="6">
        <f>T_CURSOS[[#This Row],[IMPORTE CLIENTE]]-T_CURSOS[[#This Row],[GASTO]]</f>
        <v>840</v>
      </c>
      <c r="R115" s="7">
        <f>T_CURSOS[[#This Row],[BENEFICIO]]/T_CURSOS[[#This Row],[IMPORTE CLIENTE]]</f>
        <v>0.6</v>
      </c>
    </row>
    <row r="116" spans="1:18" x14ac:dyDescent="0.2">
      <c r="A116" s="2" t="s">
        <v>168</v>
      </c>
      <c r="B116" s="3" t="s">
        <v>65</v>
      </c>
      <c r="C116" s="3">
        <v>45</v>
      </c>
      <c r="D116" s="3" t="s">
        <v>43</v>
      </c>
      <c r="E116" s="4">
        <v>1125</v>
      </c>
      <c r="F116" s="3" t="s">
        <v>44</v>
      </c>
      <c r="G116" s="4">
        <v>540</v>
      </c>
      <c r="H116" s="5">
        <v>43741</v>
      </c>
      <c r="I116" s="5" t="s">
        <v>28</v>
      </c>
      <c r="J116" s="3" t="s">
        <v>36</v>
      </c>
      <c r="K116" s="4">
        <v>78.75</v>
      </c>
      <c r="L116" s="3" t="s">
        <v>41</v>
      </c>
      <c r="M116" s="2" t="s">
        <v>45</v>
      </c>
      <c r="N116" s="2" t="s">
        <v>82</v>
      </c>
      <c r="O116" s="2" t="s">
        <v>21</v>
      </c>
      <c r="P116" s="6">
        <f>T_CURSOS[[#This Row],[IMPORTE PROFESOR]]+T_CURSOS[[#This Row],[IMPORTE COMERCIAL]]</f>
        <v>618.75</v>
      </c>
      <c r="Q116" s="6">
        <f>T_CURSOS[[#This Row],[IMPORTE CLIENTE]]-T_CURSOS[[#This Row],[GASTO]]</f>
        <v>506.25</v>
      </c>
      <c r="R116" s="7">
        <f>T_CURSOS[[#This Row],[BENEFICIO]]/T_CURSOS[[#This Row],[IMPORTE CLIENTE]]</f>
        <v>0.45</v>
      </c>
    </row>
    <row r="117" spans="1:18" x14ac:dyDescent="0.2">
      <c r="A117" s="2" t="s">
        <v>169</v>
      </c>
      <c r="B117" s="3" t="s">
        <v>33</v>
      </c>
      <c r="C117" s="3">
        <v>18</v>
      </c>
      <c r="D117" s="3" t="s">
        <v>38</v>
      </c>
      <c r="E117" s="4">
        <v>450</v>
      </c>
      <c r="F117" s="3" t="s">
        <v>27</v>
      </c>
      <c r="G117" s="4">
        <v>216</v>
      </c>
      <c r="H117" s="5">
        <v>43856</v>
      </c>
      <c r="I117" s="5" t="s">
        <v>57</v>
      </c>
      <c r="J117" s="3" t="s">
        <v>40</v>
      </c>
      <c r="K117" s="4">
        <v>31.5</v>
      </c>
      <c r="L117" s="3" t="s">
        <v>41</v>
      </c>
      <c r="M117" s="2" t="s">
        <v>30</v>
      </c>
      <c r="N117" s="2" t="s">
        <v>104</v>
      </c>
      <c r="O117" s="2" t="s">
        <v>41</v>
      </c>
      <c r="P117" s="6">
        <f>T_CURSOS[[#This Row],[IMPORTE PROFESOR]]+T_CURSOS[[#This Row],[IMPORTE COMERCIAL]]</f>
        <v>247.5</v>
      </c>
      <c r="Q117" s="6">
        <f>T_CURSOS[[#This Row],[IMPORTE CLIENTE]]-T_CURSOS[[#This Row],[GASTO]]</f>
        <v>202.5</v>
      </c>
      <c r="R117" s="7">
        <f>T_CURSOS[[#This Row],[BENEFICIO]]/T_CURSOS[[#This Row],[IMPORTE CLIENTE]]</f>
        <v>0.45</v>
      </c>
    </row>
    <row r="118" spans="1:18" x14ac:dyDescent="0.2">
      <c r="A118" s="2" t="s">
        <v>170</v>
      </c>
      <c r="B118" s="3" t="s">
        <v>33</v>
      </c>
      <c r="C118" s="3">
        <v>10</v>
      </c>
      <c r="D118" s="3" t="s">
        <v>34</v>
      </c>
      <c r="E118" s="4">
        <v>250</v>
      </c>
      <c r="F118" s="3" t="s">
        <v>35</v>
      </c>
      <c r="G118" s="4">
        <v>120</v>
      </c>
      <c r="H118" s="5">
        <v>44366</v>
      </c>
      <c r="I118" s="5" t="s">
        <v>57</v>
      </c>
      <c r="J118" s="3" t="s">
        <v>20</v>
      </c>
      <c r="K118" s="4">
        <v>17.5</v>
      </c>
      <c r="L118" s="3" t="s">
        <v>41</v>
      </c>
      <c r="M118" s="2" t="s">
        <v>22</v>
      </c>
      <c r="N118" s="2" t="s">
        <v>23</v>
      </c>
      <c r="O118" s="2" t="s">
        <v>41</v>
      </c>
      <c r="P118" s="6">
        <f>T_CURSOS[[#This Row],[IMPORTE PROFESOR]]+T_CURSOS[[#This Row],[IMPORTE COMERCIAL]]</f>
        <v>137.5</v>
      </c>
      <c r="Q118" s="6">
        <f>T_CURSOS[[#This Row],[IMPORTE CLIENTE]]-T_CURSOS[[#This Row],[GASTO]]</f>
        <v>112.5</v>
      </c>
      <c r="R118" s="7">
        <f>T_CURSOS[[#This Row],[BENEFICIO]]/T_CURSOS[[#This Row],[IMPORTE CLIENTE]]</f>
        <v>0.45</v>
      </c>
    </row>
    <row r="119" spans="1:18" x14ac:dyDescent="0.2">
      <c r="A119" s="2" t="s">
        <v>171</v>
      </c>
      <c r="B119" s="3" t="s">
        <v>33</v>
      </c>
      <c r="C119" s="3">
        <v>12</v>
      </c>
      <c r="D119" s="3" t="s">
        <v>38</v>
      </c>
      <c r="E119" s="4">
        <v>360</v>
      </c>
      <c r="F119" s="3" t="s">
        <v>18</v>
      </c>
      <c r="G119" s="4">
        <v>144</v>
      </c>
      <c r="H119" s="5">
        <v>43785</v>
      </c>
      <c r="I119" s="5" t="s">
        <v>57</v>
      </c>
      <c r="J119" s="3" t="s">
        <v>29</v>
      </c>
      <c r="K119" s="4">
        <v>28.8</v>
      </c>
      <c r="L119" s="3" t="s">
        <v>21</v>
      </c>
      <c r="M119" s="2" t="s">
        <v>30</v>
      </c>
      <c r="N119" s="2" t="s">
        <v>104</v>
      </c>
      <c r="O119" s="2" t="s">
        <v>21</v>
      </c>
      <c r="P119" s="6">
        <f>T_CURSOS[[#This Row],[IMPORTE PROFESOR]]+T_CURSOS[[#This Row],[IMPORTE COMERCIAL]]</f>
        <v>172.8</v>
      </c>
      <c r="Q119" s="6">
        <f>T_CURSOS[[#This Row],[IMPORTE CLIENTE]]-T_CURSOS[[#This Row],[GASTO]]</f>
        <v>187.2</v>
      </c>
      <c r="R119" s="7">
        <f>T_CURSOS[[#This Row],[BENEFICIO]]/T_CURSOS[[#This Row],[IMPORTE CLIENTE]]</f>
        <v>0.52</v>
      </c>
    </row>
    <row r="120" spans="1:18" x14ac:dyDescent="0.2">
      <c r="A120" s="2" t="s">
        <v>172</v>
      </c>
      <c r="B120" s="3" t="s">
        <v>33</v>
      </c>
      <c r="C120" s="3">
        <v>15</v>
      </c>
      <c r="D120" s="3" t="s">
        <v>51</v>
      </c>
      <c r="E120" s="4">
        <v>450</v>
      </c>
      <c r="F120" s="3" t="s">
        <v>27</v>
      </c>
      <c r="G120" s="4">
        <v>180</v>
      </c>
      <c r="H120" s="5">
        <v>43779</v>
      </c>
      <c r="I120" s="5" t="s">
        <v>57</v>
      </c>
      <c r="J120" s="3" t="s">
        <v>36</v>
      </c>
      <c r="K120" s="4">
        <v>36</v>
      </c>
      <c r="L120" s="3" t="s">
        <v>41</v>
      </c>
      <c r="M120" s="2" t="s">
        <v>45</v>
      </c>
      <c r="N120" s="2" t="s">
        <v>82</v>
      </c>
      <c r="O120" s="2" t="s">
        <v>21</v>
      </c>
      <c r="P120" s="6">
        <f>T_CURSOS[[#This Row],[IMPORTE PROFESOR]]+T_CURSOS[[#This Row],[IMPORTE COMERCIAL]]</f>
        <v>216</v>
      </c>
      <c r="Q120" s="6">
        <f>T_CURSOS[[#This Row],[IMPORTE CLIENTE]]-T_CURSOS[[#This Row],[GASTO]]</f>
        <v>234</v>
      </c>
      <c r="R120" s="7">
        <f>T_CURSOS[[#This Row],[BENEFICIO]]/T_CURSOS[[#This Row],[IMPORTE CLIENTE]]</f>
        <v>0.52</v>
      </c>
    </row>
    <row r="121" spans="1:18" x14ac:dyDescent="0.2">
      <c r="A121" s="2" t="s">
        <v>173</v>
      </c>
      <c r="B121" s="3" t="s">
        <v>25</v>
      </c>
      <c r="C121" s="3">
        <v>25</v>
      </c>
      <c r="D121" s="3" t="s">
        <v>34</v>
      </c>
      <c r="E121" s="4">
        <v>750</v>
      </c>
      <c r="F121" s="3" t="s">
        <v>35</v>
      </c>
      <c r="G121" s="4">
        <v>300</v>
      </c>
      <c r="H121" s="5">
        <v>43796</v>
      </c>
      <c r="I121" s="5" t="s">
        <v>57</v>
      </c>
      <c r="J121" s="3" t="s">
        <v>20</v>
      </c>
      <c r="K121" s="4">
        <v>60</v>
      </c>
      <c r="L121" s="3" t="s">
        <v>21</v>
      </c>
      <c r="M121" s="2" t="s">
        <v>22</v>
      </c>
      <c r="N121" s="2" t="s">
        <v>73</v>
      </c>
      <c r="O121" s="2" t="s">
        <v>41</v>
      </c>
      <c r="P121" s="6">
        <f>T_CURSOS[[#This Row],[IMPORTE PROFESOR]]+T_CURSOS[[#This Row],[IMPORTE COMERCIAL]]</f>
        <v>360</v>
      </c>
      <c r="Q121" s="6">
        <f>T_CURSOS[[#This Row],[IMPORTE CLIENTE]]-T_CURSOS[[#This Row],[GASTO]]</f>
        <v>390</v>
      </c>
      <c r="R121" s="7">
        <f>T_CURSOS[[#This Row],[BENEFICIO]]/T_CURSOS[[#This Row],[IMPORTE CLIENTE]]</f>
        <v>0.52</v>
      </c>
    </row>
    <row r="122" spans="1:18" x14ac:dyDescent="0.2">
      <c r="A122" s="2" t="s">
        <v>174</v>
      </c>
      <c r="B122" s="3" t="s">
        <v>25</v>
      </c>
      <c r="C122" s="3">
        <v>15</v>
      </c>
      <c r="D122" s="3" t="s">
        <v>56</v>
      </c>
      <c r="E122" s="4">
        <v>375</v>
      </c>
      <c r="F122" s="3" t="s">
        <v>39</v>
      </c>
      <c r="G122" s="4">
        <v>180</v>
      </c>
      <c r="H122" s="5">
        <v>44531</v>
      </c>
      <c r="I122" s="5" t="s">
        <v>28</v>
      </c>
      <c r="J122" s="3" t="s">
        <v>29</v>
      </c>
      <c r="K122" s="4">
        <v>18.75</v>
      </c>
      <c r="L122" s="3" t="s">
        <v>21</v>
      </c>
      <c r="M122" s="2" t="s">
        <v>22</v>
      </c>
      <c r="N122" s="2" t="s">
        <v>73</v>
      </c>
      <c r="O122" s="2" t="s">
        <v>21</v>
      </c>
      <c r="P122" s="6">
        <f>T_CURSOS[[#This Row],[IMPORTE PROFESOR]]+T_CURSOS[[#This Row],[IMPORTE COMERCIAL]]</f>
        <v>198.75</v>
      </c>
      <c r="Q122" s="6">
        <f>T_CURSOS[[#This Row],[IMPORTE CLIENTE]]-T_CURSOS[[#This Row],[GASTO]]</f>
        <v>176.25</v>
      </c>
      <c r="R122" s="7">
        <f>T_CURSOS[[#This Row],[BENEFICIO]]/T_CURSOS[[#This Row],[IMPORTE CLIENTE]]</f>
        <v>0.47</v>
      </c>
    </row>
    <row r="123" spans="1:18" x14ac:dyDescent="0.2">
      <c r="A123" s="2" t="s">
        <v>175</v>
      </c>
      <c r="B123" s="3" t="s">
        <v>25</v>
      </c>
      <c r="C123" s="3">
        <v>20</v>
      </c>
      <c r="D123" s="3" t="s">
        <v>43</v>
      </c>
      <c r="E123" s="4">
        <v>500</v>
      </c>
      <c r="F123" s="3" t="s">
        <v>44</v>
      </c>
      <c r="G123" s="4">
        <v>240</v>
      </c>
      <c r="H123" s="5">
        <v>43598</v>
      </c>
      <c r="I123" s="5" t="s">
        <v>57</v>
      </c>
      <c r="J123" s="3" t="s">
        <v>36</v>
      </c>
      <c r="K123" s="4">
        <v>25</v>
      </c>
      <c r="L123" s="3" t="s">
        <v>21</v>
      </c>
      <c r="M123" s="2" t="s">
        <v>45</v>
      </c>
      <c r="N123" s="2" t="s">
        <v>82</v>
      </c>
      <c r="O123" s="2" t="s">
        <v>21</v>
      </c>
      <c r="P123" s="6">
        <f>T_CURSOS[[#This Row],[IMPORTE PROFESOR]]+T_CURSOS[[#This Row],[IMPORTE COMERCIAL]]</f>
        <v>265</v>
      </c>
      <c r="Q123" s="6">
        <f>T_CURSOS[[#This Row],[IMPORTE CLIENTE]]-T_CURSOS[[#This Row],[GASTO]]</f>
        <v>235</v>
      </c>
      <c r="R123" s="7">
        <f>T_CURSOS[[#This Row],[BENEFICIO]]/T_CURSOS[[#This Row],[IMPORTE CLIENTE]]</f>
        <v>0.47</v>
      </c>
    </row>
    <row r="124" spans="1:18" x14ac:dyDescent="0.2">
      <c r="A124" s="2" t="s">
        <v>176</v>
      </c>
      <c r="B124" s="3" t="s">
        <v>16</v>
      </c>
      <c r="C124" s="3">
        <v>20</v>
      </c>
      <c r="D124" s="3" t="s">
        <v>51</v>
      </c>
      <c r="E124" s="4">
        <v>500</v>
      </c>
      <c r="F124" s="3" t="s">
        <v>27</v>
      </c>
      <c r="G124" s="4">
        <v>240</v>
      </c>
      <c r="H124" s="5">
        <v>44117</v>
      </c>
      <c r="I124" s="5" t="s">
        <v>57</v>
      </c>
      <c r="J124" s="3" t="s">
        <v>40</v>
      </c>
      <c r="K124" s="4">
        <v>25</v>
      </c>
      <c r="L124" s="3" t="s">
        <v>21</v>
      </c>
      <c r="M124" s="2" t="s">
        <v>45</v>
      </c>
      <c r="N124" s="2" t="s">
        <v>82</v>
      </c>
      <c r="O124" s="2" t="s">
        <v>41</v>
      </c>
      <c r="P124" s="6">
        <f>T_CURSOS[[#This Row],[IMPORTE PROFESOR]]+T_CURSOS[[#This Row],[IMPORTE COMERCIAL]]</f>
        <v>265</v>
      </c>
      <c r="Q124" s="6">
        <f>T_CURSOS[[#This Row],[IMPORTE CLIENTE]]-T_CURSOS[[#This Row],[GASTO]]</f>
        <v>235</v>
      </c>
      <c r="R124" s="7">
        <f>T_CURSOS[[#This Row],[BENEFICIO]]/T_CURSOS[[#This Row],[IMPORTE CLIENTE]]</f>
        <v>0.47</v>
      </c>
    </row>
    <row r="125" spans="1:18" x14ac:dyDescent="0.2">
      <c r="A125" s="2" t="s">
        <v>177</v>
      </c>
      <c r="B125" s="3" t="s">
        <v>16</v>
      </c>
      <c r="C125" s="3">
        <v>30</v>
      </c>
      <c r="D125" s="3" t="s">
        <v>61</v>
      </c>
      <c r="E125" s="4">
        <v>750</v>
      </c>
      <c r="F125" s="3" t="s">
        <v>35</v>
      </c>
      <c r="G125" s="4">
        <v>360</v>
      </c>
      <c r="H125" s="5">
        <v>43495</v>
      </c>
      <c r="I125" s="5" t="s">
        <v>57</v>
      </c>
      <c r="J125" s="3" t="s">
        <v>20</v>
      </c>
      <c r="K125" s="4">
        <v>37.5</v>
      </c>
      <c r="L125" s="3" t="s">
        <v>21</v>
      </c>
      <c r="M125" s="2" t="s">
        <v>22</v>
      </c>
      <c r="N125" s="2" t="s">
        <v>23</v>
      </c>
      <c r="O125" s="2" t="s">
        <v>41</v>
      </c>
      <c r="P125" s="6">
        <f>T_CURSOS[[#This Row],[IMPORTE PROFESOR]]+T_CURSOS[[#This Row],[IMPORTE COMERCIAL]]</f>
        <v>397.5</v>
      </c>
      <c r="Q125" s="6">
        <f>T_CURSOS[[#This Row],[IMPORTE CLIENTE]]-T_CURSOS[[#This Row],[GASTO]]</f>
        <v>352.5</v>
      </c>
      <c r="R125" s="7">
        <f>T_CURSOS[[#This Row],[BENEFICIO]]/T_CURSOS[[#This Row],[IMPORTE CLIENTE]]</f>
        <v>0.47</v>
      </c>
    </row>
    <row r="126" spans="1:18" x14ac:dyDescent="0.2">
      <c r="A126" s="2" t="s">
        <v>178</v>
      </c>
      <c r="B126" s="3" t="s">
        <v>33</v>
      </c>
      <c r="C126" s="3">
        <v>35</v>
      </c>
      <c r="D126" s="3" t="s">
        <v>38</v>
      </c>
      <c r="E126" s="4">
        <v>875</v>
      </c>
      <c r="F126" s="3" t="s">
        <v>39</v>
      </c>
      <c r="G126" s="4">
        <v>420</v>
      </c>
      <c r="H126" s="5">
        <v>43477</v>
      </c>
      <c r="I126" s="5" t="s">
        <v>28</v>
      </c>
      <c r="J126" s="3" t="s">
        <v>29</v>
      </c>
      <c r="K126" s="4">
        <v>43.75</v>
      </c>
      <c r="L126" s="3" t="s">
        <v>21</v>
      </c>
      <c r="M126" s="2" t="s">
        <v>30</v>
      </c>
      <c r="N126" s="2" t="s">
        <v>104</v>
      </c>
      <c r="O126" s="2" t="s">
        <v>21</v>
      </c>
      <c r="P126" s="6">
        <f>T_CURSOS[[#This Row],[IMPORTE PROFESOR]]+T_CURSOS[[#This Row],[IMPORTE COMERCIAL]]</f>
        <v>463.75</v>
      </c>
      <c r="Q126" s="6">
        <f>T_CURSOS[[#This Row],[IMPORTE CLIENTE]]-T_CURSOS[[#This Row],[GASTO]]</f>
        <v>411.25</v>
      </c>
      <c r="R126" s="7">
        <f>T_CURSOS[[#This Row],[BENEFICIO]]/T_CURSOS[[#This Row],[IMPORTE CLIENTE]]</f>
        <v>0.47</v>
      </c>
    </row>
    <row r="127" spans="1:18" x14ac:dyDescent="0.2">
      <c r="A127" s="2" t="s">
        <v>179</v>
      </c>
      <c r="B127" s="3" t="s">
        <v>33</v>
      </c>
      <c r="C127" s="3">
        <v>40</v>
      </c>
      <c r="D127" s="3" t="s">
        <v>43</v>
      </c>
      <c r="E127" s="4">
        <v>3000</v>
      </c>
      <c r="F127" s="3" t="s">
        <v>18</v>
      </c>
      <c r="G127" s="4">
        <v>480</v>
      </c>
      <c r="H127" s="5">
        <v>44455</v>
      </c>
      <c r="I127" s="5" t="s">
        <v>28</v>
      </c>
      <c r="J127" s="3" t="s">
        <v>36</v>
      </c>
      <c r="K127" s="4">
        <v>450</v>
      </c>
      <c r="L127" s="3" t="s">
        <v>21</v>
      </c>
      <c r="M127" s="2" t="s">
        <v>45</v>
      </c>
      <c r="N127" s="2" t="s">
        <v>82</v>
      </c>
      <c r="O127" s="2" t="s">
        <v>21</v>
      </c>
      <c r="P127" s="6">
        <f>T_CURSOS[[#This Row],[IMPORTE PROFESOR]]+T_CURSOS[[#This Row],[IMPORTE COMERCIAL]]</f>
        <v>930</v>
      </c>
      <c r="Q127" s="6">
        <f>T_CURSOS[[#This Row],[IMPORTE CLIENTE]]-T_CURSOS[[#This Row],[GASTO]]</f>
        <v>2070</v>
      </c>
      <c r="R127" s="7">
        <f>T_CURSOS[[#This Row],[BENEFICIO]]/T_CURSOS[[#This Row],[IMPORTE CLIENTE]]</f>
        <v>0.69</v>
      </c>
    </row>
    <row r="128" spans="1:18" x14ac:dyDescent="0.2">
      <c r="A128" s="2" t="s">
        <v>180</v>
      </c>
      <c r="B128" s="3" t="s">
        <v>25</v>
      </c>
      <c r="C128" s="3">
        <v>40</v>
      </c>
      <c r="D128" s="3" t="s">
        <v>51</v>
      </c>
      <c r="E128" s="4">
        <v>2400</v>
      </c>
      <c r="F128" s="3" t="s">
        <v>27</v>
      </c>
      <c r="G128" s="4">
        <v>480</v>
      </c>
      <c r="H128" s="5">
        <v>44375</v>
      </c>
      <c r="I128" s="5" t="s">
        <v>28</v>
      </c>
      <c r="J128" s="3" t="s">
        <v>40</v>
      </c>
      <c r="K128" s="4">
        <v>288</v>
      </c>
      <c r="L128" s="3" t="s">
        <v>21</v>
      </c>
      <c r="M128" s="2" t="s">
        <v>45</v>
      </c>
      <c r="N128" s="2" t="s">
        <v>82</v>
      </c>
      <c r="O128" s="2" t="s">
        <v>41</v>
      </c>
      <c r="P128" s="6">
        <f>T_CURSOS[[#This Row],[IMPORTE PROFESOR]]+T_CURSOS[[#This Row],[IMPORTE COMERCIAL]]</f>
        <v>768</v>
      </c>
      <c r="Q128" s="6">
        <f>T_CURSOS[[#This Row],[IMPORTE CLIENTE]]-T_CURSOS[[#This Row],[GASTO]]</f>
        <v>1632</v>
      </c>
      <c r="R128" s="7">
        <f>T_CURSOS[[#This Row],[BENEFICIO]]/T_CURSOS[[#This Row],[IMPORTE CLIENTE]]</f>
        <v>0.68</v>
      </c>
    </row>
    <row r="129" spans="1:18" x14ac:dyDescent="0.2">
      <c r="A129" s="2" t="s">
        <v>181</v>
      </c>
      <c r="B129" s="3" t="s">
        <v>25</v>
      </c>
      <c r="C129" s="3">
        <v>35</v>
      </c>
      <c r="D129" s="3" t="s">
        <v>34</v>
      </c>
      <c r="E129" s="4">
        <v>2100</v>
      </c>
      <c r="F129" s="3" t="s">
        <v>35</v>
      </c>
      <c r="G129" s="4">
        <v>420</v>
      </c>
      <c r="H129" s="5">
        <v>44324</v>
      </c>
      <c r="I129" s="5" t="s">
        <v>28</v>
      </c>
      <c r="J129" s="3" t="s">
        <v>29</v>
      </c>
      <c r="K129" s="4">
        <v>252</v>
      </c>
      <c r="L129" s="3" t="s">
        <v>21</v>
      </c>
      <c r="M129" s="2" t="s">
        <v>22</v>
      </c>
      <c r="N129" s="2" t="s">
        <v>101</v>
      </c>
      <c r="O129" s="2" t="s">
        <v>21</v>
      </c>
      <c r="P129" s="6">
        <f>T_CURSOS[[#This Row],[IMPORTE PROFESOR]]+T_CURSOS[[#This Row],[IMPORTE COMERCIAL]]</f>
        <v>672</v>
      </c>
      <c r="Q129" s="6">
        <f>T_CURSOS[[#This Row],[IMPORTE CLIENTE]]-T_CURSOS[[#This Row],[GASTO]]</f>
        <v>1428</v>
      </c>
      <c r="R129" s="7">
        <f>T_CURSOS[[#This Row],[BENEFICIO]]/T_CURSOS[[#This Row],[IMPORTE CLIENTE]]</f>
        <v>0.68</v>
      </c>
    </row>
    <row r="130" spans="1:18" x14ac:dyDescent="0.2">
      <c r="A130" s="2" t="s">
        <v>182</v>
      </c>
      <c r="B130" s="3" t="s">
        <v>25</v>
      </c>
      <c r="C130" s="3">
        <v>45</v>
      </c>
      <c r="D130" s="3" t="s">
        <v>56</v>
      </c>
      <c r="E130" s="4">
        <v>2700</v>
      </c>
      <c r="F130" s="3" t="s">
        <v>39</v>
      </c>
      <c r="G130" s="4">
        <v>540</v>
      </c>
      <c r="H130" s="5">
        <v>43901</v>
      </c>
      <c r="I130" s="5" t="s">
        <v>57</v>
      </c>
      <c r="J130" s="3" t="s">
        <v>36</v>
      </c>
      <c r="K130" s="4">
        <v>324</v>
      </c>
      <c r="L130" s="3" t="s">
        <v>21</v>
      </c>
      <c r="M130" s="2" t="s">
        <v>22</v>
      </c>
      <c r="N130" s="2" t="s">
        <v>23</v>
      </c>
      <c r="O130" s="2" t="s">
        <v>21</v>
      </c>
      <c r="P130" s="6">
        <f>T_CURSOS[[#This Row],[IMPORTE PROFESOR]]+T_CURSOS[[#This Row],[IMPORTE COMERCIAL]]</f>
        <v>864</v>
      </c>
      <c r="Q130" s="6">
        <f>T_CURSOS[[#This Row],[IMPORTE CLIENTE]]-T_CURSOS[[#This Row],[GASTO]]</f>
        <v>1836</v>
      </c>
      <c r="R130" s="7">
        <f>T_CURSOS[[#This Row],[BENEFICIO]]/T_CURSOS[[#This Row],[IMPORTE CLIENTE]]</f>
        <v>0.68</v>
      </c>
    </row>
    <row r="131" spans="1:18" x14ac:dyDescent="0.2">
      <c r="A131" s="2" t="s">
        <v>183</v>
      </c>
      <c r="B131" s="3" t="s">
        <v>16</v>
      </c>
      <c r="C131" s="3">
        <v>25</v>
      </c>
      <c r="D131" s="3" t="s">
        <v>56</v>
      </c>
      <c r="E131" s="4">
        <v>1000</v>
      </c>
      <c r="F131" s="3" t="s">
        <v>44</v>
      </c>
      <c r="G131" s="4">
        <v>300</v>
      </c>
      <c r="H131" s="5">
        <v>43480</v>
      </c>
      <c r="I131" s="5" t="s">
        <v>57</v>
      </c>
      <c r="J131" s="3" t="s">
        <v>40</v>
      </c>
      <c r="K131" s="4">
        <v>100</v>
      </c>
      <c r="L131" s="3" t="s">
        <v>21</v>
      </c>
      <c r="M131" s="2" t="s">
        <v>22</v>
      </c>
      <c r="N131" s="2" t="s">
        <v>23</v>
      </c>
      <c r="O131" s="2" t="s">
        <v>41</v>
      </c>
      <c r="P131" s="6">
        <f>T_CURSOS[[#This Row],[IMPORTE PROFESOR]]+T_CURSOS[[#This Row],[IMPORTE COMERCIAL]]</f>
        <v>400</v>
      </c>
      <c r="Q131" s="6">
        <f>T_CURSOS[[#This Row],[IMPORTE CLIENTE]]-T_CURSOS[[#This Row],[GASTO]]</f>
        <v>600</v>
      </c>
      <c r="R131" s="7">
        <f>T_CURSOS[[#This Row],[BENEFICIO]]/T_CURSOS[[#This Row],[IMPORTE CLIENTE]]</f>
        <v>0.6</v>
      </c>
    </row>
    <row r="132" spans="1:18" x14ac:dyDescent="0.2">
      <c r="A132" s="2" t="s">
        <v>184</v>
      </c>
      <c r="B132" s="3" t="s">
        <v>16</v>
      </c>
      <c r="C132" s="3">
        <v>20</v>
      </c>
      <c r="D132" s="3" t="s">
        <v>51</v>
      </c>
      <c r="E132" s="4">
        <v>500</v>
      </c>
      <c r="F132" s="3" t="s">
        <v>27</v>
      </c>
      <c r="G132" s="4">
        <v>240</v>
      </c>
      <c r="H132" s="5">
        <v>43710</v>
      </c>
      <c r="I132" s="5" t="s">
        <v>57</v>
      </c>
      <c r="J132" s="3" t="s">
        <v>20</v>
      </c>
      <c r="K132" s="4">
        <v>35</v>
      </c>
      <c r="L132" s="3" t="s">
        <v>21</v>
      </c>
      <c r="M132" s="2" t="s">
        <v>45</v>
      </c>
      <c r="N132" s="2" t="s">
        <v>82</v>
      </c>
      <c r="O132" s="2" t="s">
        <v>41</v>
      </c>
      <c r="P132" s="6">
        <f>T_CURSOS[[#This Row],[IMPORTE PROFESOR]]+T_CURSOS[[#This Row],[IMPORTE COMERCIAL]]</f>
        <v>275</v>
      </c>
      <c r="Q132" s="6">
        <f>T_CURSOS[[#This Row],[IMPORTE CLIENTE]]-T_CURSOS[[#This Row],[GASTO]]</f>
        <v>225</v>
      </c>
      <c r="R132" s="7">
        <f>T_CURSOS[[#This Row],[BENEFICIO]]/T_CURSOS[[#This Row],[IMPORTE CLIENTE]]</f>
        <v>0.45</v>
      </c>
    </row>
    <row r="133" spans="1:18" x14ac:dyDescent="0.2">
      <c r="A133" s="2" t="s">
        <v>185</v>
      </c>
      <c r="B133" s="3" t="s">
        <v>16</v>
      </c>
      <c r="C133" s="3">
        <v>10</v>
      </c>
      <c r="D133" s="3" t="s">
        <v>43</v>
      </c>
      <c r="E133" s="4">
        <v>250</v>
      </c>
      <c r="F133" s="3" t="s">
        <v>35</v>
      </c>
      <c r="G133" s="4">
        <v>120</v>
      </c>
      <c r="H133" s="5">
        <v>43983</v>
      </c>
      <c r="I133" s="5" t="s">
        <v>57</v>
      </c>
      <c r="J133" s="3" t="s">
        <v>20</v>
      </c>
      <c r="K133" s="4">
        <v>17.5</v>
      </c>
      <c r="L133" s="3" t="s">
        <v>21</v>
      </c>
      <c r="M133" s="2" t="s">
        <v>45</v>
      </c>
      <c r="N133" s="2" t="s">
        <v>82</v>
      </c>
      <c r="O133" s="2" t="s">
        <v>41</v>
      </c>
      <c r="P133" s="6">
        <f>T_CURSOS[[#This Row],[IMPORTE PROFESOR]]+T_CURSOS[[#This Row],[IMPORTE COMERCIAL]]</f>
        <v>137.5</v>
      </c>
      <c r="Q133" s="6">
        <f>T_CURSOS[[#This Row],[IMPORTE CLIENTE]]-T_CURSOS[[#This Row],[GASTO]]</f>
        <v>112.5</v>
      </c>
      <c r="R133" s="7">
        <f>T_CURSOS[[#This Row],[BENEFICIO]]/T_CURSOS[[#This Row],[IMPORTE CLIENTE]]</f>
        <v>0.45</v>
      </c>
    </row>
    <row r="134" spans="1:18" x14ac:dyDescent="0.2">
      <c r="A134" s="2" t="s">
        <v>186</v>
      </c>
      <c r="B134" s="3" t="s">
        <v>53</v>
      </c>
      <c r="C134" s="3">
        <v>12</v>
      </c>
      <c r="D134" s="3" t="s">
        <v>61</v>
      </c>
      <c r="E134" s="4">
        <v>300</v>
      </c>
      <c r="F134" s="3" t="s">
        <v>18</v>
      </c>
      <c r="G134" s="4">
        <v>144</v>
      </c>
      <c r="H134" s="5">
        <v>43794</v>
      </c>
      <c r="I134" s="5" t="s">
        <v>57</v>
      </c>
      <c r="J134" s="3" t="s">
        <v>29</v>
      </c>
      <c r="K134" s="4">
        <v>21</v>
      </c>
      <c r="L134" s="3" t="s">
        <v>21</v>
      </c>
      <c r="M134" s="2" t="s">
        <v>22</v>
      </c>
      <c r="N134" s="2" t="s">
        <v>23</v>
      </c>
      <c r="O134" s="2" t="s">
        <v>21</v>
      </c>
      <c r="P134" s="6">
        <f>T_CURSOS[[#This Row],[IMPORTE PROFESOR]]+T_CURSOS[[#This Row],[IMPORTE COMERCIAL]]</f>
        <v>165</v>
      </c>
      <c r="Q134" s="6">
        <f>T_CURSOS[[#This Row],[IMPORTE CLIENTE]]-T_CURSOS[[#This Row],[GASTO]]</f>
        <v>135</v>
      </c>
      <c r="R134" s="7">
        <f>T_CURSOS[[#This Row],[BENEFICIO]]/T_CURSOS[[#This Row],[IMPORTE CLIENTE]]</f>
        <v>0.45</v>
      </c>
    </row>
    <row r="135" spans="1:18" x14ac:dyDescent="0.2">
      <c r="A135" s="2" t="s">
        <v>187</v>
      </c>
      <c r="B135" s="3" t="s">
        <v>63</v>
      </c>
      <c r="C135" s="3">
        <v>15</v>
      </c>
      <c r="D135" s="3" t="s">
        <v>38</v>
      </c>
      <c r="E135" s="4">
        <v>450</v>
      </c>
      <c r="F135" s="3" t="s">
        <v>27</v>
      </c>
      <c r="G135" s="4">
        <v>180</v>
      </c>
      <c r="H135" s="5">
        <v>43587</v>
      </c>
      <c r="I135" s="5" t="s">
        <v>28</v>
      </c>
      <c r="J135" s="3" t="s">
        <v>36</v>
      </c>
      <c r="K135" s="4">
        <v>36</v>
      </c>
      <c r="L135" s="3" t="s">
        <v>41</v>
      </c>
      <c r="M135" s="2" t="s">
        <v>30</v>
      </c>
      <c r="N135" s="2" t="s">
        <v>104</v>
      </c>
      <c r="O135" s="2" t="s">
        <v>21</v>
      </c>
      <c r="P135" s="6">
        <f>T_CURSOS[[#This Row],[IMPORTE PROFESOR]]+T_CURSOS[[#This Row],[IMPORTE COMERCIAL]]</f>
        <v>216</v>
      </c>
      <c r="Q135" s="6">
        <f>T_CURSOS[[#This Row],[IMPORTE CLIENTE]]-T_CURSOS[[#This Row],[GASTO]]</f>
        <v>234</v>
      </c>
      <c r="R135" s="7">
        <f>T_CURSOS[[#This Row],[BENEFICIO]]/T_CURSOS[[#This Row],[IMPORTE CLIENTE]]</f>
        <v>0.52</v>
      </c>
    </row>
    <row r="136" spans="1:18" x14ac:dyDescent="0.2">
      <c r="A136" s="2" t="s">
        <v>188</v>
      </c>
      <c r="B136" s="3" t="s">
        <v>65</v>
      </c>
      <c r="C136" s="3">
        <v>20</v>
      </c>
      <c r="D136" s="3" t="s">
        <v>43</v>
      </c>
      <c r="E136" s="4">
        <v>600</v>
      </c>
      <c r="F136" s="3" t="s">
        <v>35</v>
      </c>
      <c r="G136" s="4">
        <v>240</v>
      </c>
      <c r="H136" s="5">
        <v>43483</v>
      </c>
      <c r="I136" s="5" t="s">
        <v>19</v>
      </c>
      <c r="J136" s="3" t="s">
        <v>40</v>
      </c>
      <c r="K136" s="4">
        <v>48</v>
      </c>
      <c r="L136" s="3" t="s">
        <v>41</v>
      </c>
      <c r="M136" s="2" t="s">
        <v>45</v>
      </c>
      <c r="N136" s="2" t="s">
        <v>82</v>
      </c>
      <c r="O136" s="2" t="s">
        <v>41</v>
      </c>
      <c r="P136" s="6">
        <f>T_CURSOS[[#This Row],[IMPORTE PROFESOR]]+T_CURSOS[[#This Row],[IMPORTE COMERCIAL]]</f>
        <v>288</v>
      </c>
      <c r="Q136" s="6">
        <f>T_CURSOS[[#This Row],[IMPORTE CLIENTE]]-T_CURSOS[[#This Row],[GASTO]]</f>
        <v>312</v>
      </c>
      <c r="R136" s="7">
        <f>T_CURSOS[[#This Row],[BENEFICIO]]/T_CURSOS[[#This Row],[IMPORTE CLIENTE]]</f>
        <v>0.52</v>
      </c>
    </row>
    <row r="137" spans="1:18" x14ac:dyDescent="0.2">
      <c r="A137" s="2" t="s">
        <v>189</v>
      </c>
      <c r="B137" s="3" t="s">
        <v>65</v>
      </c>
      <c r="C137" s="3">
        <v>25</v>
      </c>
      <c r="D137" s="3" t="s">
        <v>38</v>
      </c>
      <c r="E137" s="4">
        <v>750</v>
      </c>
      <c r="F137" s="3" t="s">
        <v>39</v>
      </c>
      <c r="G137" s="4">
        <v>300</v>
      </c>
      <c r="H137" s="5">
        <v>44469</v>
      </c>
      <c r="I137" s="5" t="s">
        <v>28</v>
      </c>
      <c r="J137" s="3" t="s">
        <v>29</v>
      </c>
      <c r="K137" s="4">
        <v>60</v>
      </c>
      <c r="L137" s="3" t="s">
        <v>41</v>
      </c>
      <c r="M137" s="2" t="s">
        <v>30</v>
      </c>
      <c r="N137" s="2" t="s">
        <v>104</v>
      </c>
      <c r="O137" s="2" t="s">
        <v>21</v>
      </c>
      <c r="P137" s="6">
        <f>T_CURSOS[[#This Row],[IMPORTE PROFESOR]]+T_CURSOS[[#This Row],[IMPORTE COMERCIAL]]</f>
        <v>360</v>
      </c>
      <c r="Q137" s="6">
        <f>T_CURSOS[[#This Row],[IMPORTE CLIENTE]]-T_CURSOS[[#This Row],[GASTO]]</f>
        <v>390</v>
      </c>
      <c r="R137" s="7">
        <f>T_CURSOS[[#This Row],[BENEFICIO]]/T_CURSOS[[#This Row],[IMPORTE CLIENTE]]</f>
        <v>0.52</v>
      </c>
    </row>
    <row r="138" spans="1:18" x14ac:dyDescent="0.2">
      <c r="A138" s="2" t="s">
        <v>190</v>
      </c>
      <c r="B138" s="3" t="s">
        <v>65</v>
      </c>
      <c r="C138" s="3">
        <v>30</v>
      </c>
      <c r="D138" s="3" t="s">
        <v>34</v>
      </c>
      <c r="E138" s="4">
        <v>750</v>
      </c>
      <c r="F138" s="3" t="s">
        <v>44</v>
      </c>
      <c r="G138" s="4">
        <v>360</v>
      </c>
      <c r="H138" s="5">
        <v>44502</v>
      </c>
      <c r="I138" s="5" t="s">
        <v>19</v>
      </c>
      <c r="J138" s="3" t="s">
        <v>36</v>
      </c>
      <c r="K138" s="4">
        <v>37.5</v>
      </c>
      <c r="L138" s="3" t="s">
        <v>41</v>
      </c>
      <c r="M138" s="2" t="s">
        <v>22</v>
      </c>
      <c r="N138" s="2" t="s">
        <v>101</v>
      </c>
      <c r="O138" s="2" t="s">
        <v>21</v>
      </c>
      <c r="P138" s="6">
        <f>T_CURSOS[[#This Row],[IMPORTE PROFESOR]]+T_CURSOS[[#This Row],[IMPORTE COMERCIAL]]</f>
        <v>397.5</v>
      </c>
      <c r="Q138" s="6">
        <f>T_CURSOS[[#This Row],[IMPORTE CLIENTE]]-T_CURSOS[[#This Row],[GASTO]]</f>
        <v>352.5</v>
      </c>
      <c r="R138" s="7">
        <f>T_CURSOS[[#This Row],[BENEFICIO]]/T_CURSOS[[#This Row],[IMPORTE CLIENTE]]</f>
        <v>0.47</v>
      </c>
    </row>
    <row r="139" spans="1:18" x14ac:dyDescent="0.2">
      <c r="A139" s="2" t="s">
        <v>191</v>
      </c>
      <c r="B139" s="3" t="s">
        <v>33</v>
      </c>
      <c r="C139" s="3">
        <v>40</v>
      </c>
      <c r="D139" s="3" t="s">
        <v>38</v>
      </c>
      <c r="E139" s="4">
        <v>1000</v>
      </c>
      <c r="F139" s="3" t="s">
        <v>27</v>
      </c>
      <c r="G139" s="4">
        <v>480</v>
      </c>
      <c r="H139" s="5">
        <v>43985</v>
      </c>
      <c r="I139" s="5" t="s">
        <v>19</v>
      </c>
      <c r="J139" s="3" t="s">
        <v>40</v>
      </c>
      <c r="K139" s="4">
        <v>50</v>
      </c>
      <c r="L139" s="3" t="s">
        <v>21</v>
      </c>
      <c r="M139" s="2" t="s">
        <v>30</v>
      </c>
      <c r="N139" s="2" t="s">
        <v>104</v>
      </c>
      <c r="O139" s="2" t="s">
        <v>21</v>
      </c>
      <c r="P139" s="6">
        <f>T_CURSOS[[#This Row],[IMPORTE PROFESOR]]+T_CURSOS[[#This Row],[IMPORTE COMERCIAL]]</f>
        <v>530</v>
      </c>
      <c r="Q139" s="6">
        <f>T_CURSOS[[#This Row],[IMPORTE CLIENTE]]-T_CURSOS[[#This Row],[GASTO]]</f>
        <v>470</v>
      </c>
      <c r="R139" s="7">
        <f>T_CURSOS[[#This Row],[BENEFICIO]]/T_CURSOS[[#This Row],[IMPORTE CLIENTE]]</f>
        <v>0.47</v>
      </c>
    </row>
    <row r="140" spans="1:18" x14ac:dyDescent="0.2">
      <c r="A140" s="2" t="s">
        <v>192</v>
      </c>
      <c r="B140" s="3" t="s">
        <v>33</v>
      </c>
      <c r="C140" s="3">
        <v>35</v>
      </c>
      <c r="D140" s="3" t="s">
        <v>51</v>
      </c>
      <c r="E140" s="4">
        <v>875</v>
      </c>
      <c r="F140" s="3" t="s">
        <v>35</v>
      </c>
      <c r="G140" s="4">
        <v>420</v>
      </c>
      <c r="H140" s="5">
        <v>43912</v>
      </c>
      <c r="I140" s="5" t="s">
        <v>19</v>
      </c>
      <c r="J140" s="3" t="s">
        <v>20</v>
      </c>
      <c r="K140" s="4">
        <v>43.75</v>
      </c>
      <c r="L140" s="3" t="s">
        <v>21</v>
      </c>
      <c r="M140" s="2" t="s">
        <v>45</v>
      </c>
      <c r="N140" s="2" t="s">
        <v>46</v>
      </c>
      <c r="O140" s="2" t="s">
        <v>21</v>
      </c>
      <c r="P140" s="6">
        <f>T_CURSOS[[#This Row],[IMPORTE PROFESOR]]+T_CURSOS[[#This Row],[IMPORTE COMERCIAL]]</f>
        <v>463.75</v>
      </c>
      <c r="Q140" s="6">
        <f>T_CURSOS[[#This Row],[IMPORTE CLIENTE]]-T_CURSOS[[#This Row],[GASTO]]</f>
        <v>411.25</v>
      </c>
      <c r="R140" s="7">
        <f>T_CURSOS[[#This Row],[BENEFICIO]]/T_CURSOS[[#This Row],[IMPORTE CLIENTE]]</f>
        <v>0.47</v>
      </c>
    </row>
    <row r="141" spans="1:18" x14ac:dyDescent="0.2">
      <c r="A141" s="2" t="s">
        <v>193</v>
      </c>
      <c r="B141" s="3" t="s">
        <v>33</v>
      </c>
      <c r="C141" s="3">
        <v>45</v>
      </c>
      <c r="D141" s="3" t="s">
        <v>34</v>
      </c>
      <c r="E141" s="4">
        <v>1125</v>
      </c>
      <c r="F141" s="3" t="s">
        <v>39</v>
      </c>
      <c r="G141" s="4">
        <v>540</v>
      </c>
      <c r="H141" s="5">
        <v>43934</v>
      </c>
      <c r="I141" s="5" t="s">
        <v>19</v>
      </c>
      <c r="J141" s="3" t="s">
        <v>29</v>
      </c>
      <c r="K141" s="4">
        <v>56.25</v>
      </c>
      <c r="L141" s="3" t="s">
        <v>21</v>
      </c>
      <c r="M141" s="2" t="s">
        <v>22</v>
      </c>
      <c r="N141" s="2" t="s">
        <v>101</v>
      </c>
      <c r="O141" s="2" t="s">
        <v>21</v>
      </c>
      <c r="P141" s="6">
        <f>T_CURSOS[[#This Row],[IMPORTE PROFESOR]]+T_CURSOS[[#This Row],[IMPORTE COMERCIAL]]</f>
        <v>596.25</v>
      </c>
      <c r="Q141" s="6">
        <f>T_CURSOS[[#This Row],[IMPORTE CLIENTE]]-T_CURSOS[[#This Row],[GASTO]]</f>
        <v>528.75</v>
      </c>
      <c r="R141" s="7">
        <f>T_CURSOS[[#This Row],[BENEFICIO]]/T_CURSOS[[#This Row],[IMPORTE CLIENTE]]</f>
        <v>0.47</v>
      </c>
    </row>
    <row r="142" spans="1:18" x14ac:dyDescent="0.2">
      <c r="A142" s="2" t="s">
        <v>194</v>
      </c>
      <c r="B142" s="3" t="s">
        <v>33</v>
      </c>
      <c r="C142" s="3">
        <v>18</v>
      </c>
      <c r="D142" s="3" t="s">
        <v>56</v>
      </c>
      <c r="E142" s="4">
        <v>450</v>
      </c>
      <c r="F142" s="3" t="s">
        <v>18</v>
      </c>
      <c r="G142" s="4">
        <v>216</v>
      </c>
      <c r="H142" s="5">
        <v>44097</v>
      </c>
      <c r="I142" s="5" t="s">
        <v>28</v>
      </c>
      <c r="J142" s="3" t="s">
        <v>36</v>
      </c>
      <c r="K142" s="4">
        <v>22.5</v>
      </c>
      <c r="L142" s="3" t="s">
        <v>21</v>
      </c>
      <c r="M142" s="2" t="s">
        <v>22</v>
      </c>
      <c r="N142" s="2" t="s">
        <v>101</v>
      </c>
      <c r="O142" s="2" t="s">
        <v>21</v>
      </c>
      <c r="P142" s="6">
        <f>T_CURSOS[[#This Row],[IMPORTE PROFESOR]]+T_CURSOS[[#This Row],[IMPORTE COMERCIAL]]</f>
        <v>238.5</v>
      </c>
      <c r="Q142" s="6">
        <f>T_CURSOS[[#This Row],[IMPORTE CLIENTE]]-T_CURSOS[[#This Row],[GASTO]]</f>
        <v>211.5</v>
      </c>
      <c r="R142" s="7">
        <f>T_CURSOS[[#This Row],[BENEFICIO]]/T_CURSOS[[#This Row],[IMPORTE CLIENTE]]</f>
        <v>0.47</v>
      </c>
    </row>
    <row r="143" spans="1:18" x14ac:dyDescent="0.2">
      <c r="A143" s="2" t="s">
        <v>195</v>
      </c>
      <c r="B143" s="3" t="s">
        <v>25</v>
      </c>
      <c r="C143" s="3">
        <v>10</v>
      </c>
      <c r="D143" s="3" t="s">
        <v>43</v>
      </c>
      <c r="E143" s="4">
        <v>750</v>
      </c>
      <c r="F143" s="3" t="s">
        <v>27</v>
      </c>
      <c r="G143" s="4">
        <v>120</v>
      </c>
      <c r="H143" s="5">
        <v>44467</v>
      </c>
      <c r="I143" s="5" t="s">
        <v>28</v>
      </c>
      <c r="J143" s="3" t="s">
        <v>20</v>
      </c>
      <c r="K143" s="4">
        <v>112.5</v>
      </c>
      <c r="L143" s="3" t="s">
        <v>41</v>
      </c>
      <c r="M143" s="2" t="s">
        <v>45</v>
      </c>
      <c r="N143" s="2" t="s">
        <v>46</v>
      </c>
      <c r="O143" s="2" t="s">
        <v>21</v>
      </c>
      <c r="P143" s="6">
        <f>T_CURSOS[[#This Row],[IMPORTE PROFESOR]]+T_CURSOS[[#This Row],[IMPORTE COMERCIAL]]</f>
        <v>232.5</v>
      </c>
      <c r="Q143" s="6">
        <f>T_CURSOS[[#This Row],[IMPORTE CLIENTE]]-T_CURSOS[[#This Row],[GASTO]]</f>
        <v>517.5</v>
      </c>
      <c r="R143" s="7">
        <f>T_CURSOS[[#This Row],[BENEFICIO]]/T_CURSOS[[#This Row],[IMPORTE CLIENTE]]</f>
        <v>0.69</v>
      </c>
    </row>
    <row r="144" spans="1:18" x14ac:dyDescent="0.2">
      <c r="A144" s="2" t="s">
        <v>196</v>
      </c>
      <c r="B144" s="3" t="s">
        <v>25</v>
      </c>
      <c r="C144" s="3">
        <v>12</v>
      </c>
      <c r="D144" s="3" t="s">
        <v>51</v>
      </c>
      <c r="E144" s="4">
        <v>720</v>
      </c>
      <c r="F144" s="3" t="s">
        <v>35</v>
      </c>
      <c r="G144" s="4">
        <v>144</v>
      </c>
      <c r="H144" s="5">
        <v>43874</v>
      </c>
      <c r="I144" s="5" t="s">
        <v>19</v>
      </c>
      <c r="J144" s="3" t="s">
        <v>29</v>
      </c>
      <c r="K144" s="4">
        <v>86.4</v>
      </c>
      <c r="L144" s="3" t="s">
        <v>41</v>
      </c>
      <c r="M144" s="2" t="s">
        <v>45</v>
      </c>
      <c r="N144" s="2" t="s">
        <v>46</v>
      </c>
      <c r="O144" s="2" t="s">
        <v>21</v>
      </c>
      <c r="P144" s="6">
        <f>T_CURSOS[[#This Row],[IMPORTE PROFESOR]]+T_CURSOS[[#This Row],[IMPORTE COMERCIAL]]</f>
        <v>230.4</v>
      </c>
      <c r="Q144" s="6">
        <f>T_CURSOS[[#This Row],[IMPORTE CLIENTE]]-T_CURSOS[[#This Row],[GASTO]]</f>
        <v>489.6</v>
      </c>
      <c r="R144" s="7">
        <f>T_CURSOS[[#This Row],[BENEFICIO]]/T_CURSOS[[#This Row],[IMPORTE CLIENTE]]</f>
        <v>0.68</v>
      </c>
    </row>
    <row r="145" spans="1:18" x14ac:dyDescent="0.2">
      <c r="A145" s="2" t="s">
        <v>197</v>
      </c>
      <c r="B145" s="3" t="s">
        <v>25</v>
      </c>
      <c r="C145" s="3">
        <v>15</v>
      </c>
      <c r="D145" s="3" t="s">
        <v>61</v>
      </c>
      <c r="E145" s="4">
        <v>900</v>
      </c>
      <c r="F145" s="3" t="s">
        <v>39</v>
      </c>
      <c r="G145" s="4">
        <v>180</v>
      </c>
      <c r="H145" s="5">
        <v>44513</v>
      </c>
      <c r="I145" s="5" t="s">
        <v>28</v>
      </c>
      <c r="J145" s="3" t="s">
        <v>36</v>
      </c>
      <c r="K145" s="4">
        <v>108</v>
      </c>
      <c r="L145" s="3" t="s">
        <v>21</v>
      </c>
      <c r="M145" s="2" t="s">
        <v>22</v>
      </c>
      <c r="N145" s="2" t="s">
        <v>23</v>
      </c>
      <c r="O145" s="2" t="s">
        <v>21</v>
      </c>
      <c r="P145" s="6">
        <f>T_CURSOS[[#This Row],[IMPORTE PROFESOR]]+T_CURSOS[[#This Row],[IMPORTE COMERCIAL]]</f>
        <v>288</v>
      </c>
      <c r="Q145" s="6">
        <f>T_CURSOS[[#This Row],[IMPORTE CLIENTE]]-T_CURSOS[[#This Row],[GASTO]]</f>
        <v>612</v>
      </c>
      <c r="R145" s="7">
        <f>T_CURSOS[[#This Row],[BENEFICIO]]/T_CURSOS[[#This Row],[IMPORTE CLIENTE]]</f>
        <v>0.68</v>
      </c>
    </row>
    <row r="146" spans="1:18" x14ac:dyDescent="0.2">
      <c r="A146" s="2" t="s">
        <v>198</v>
      </c>
      <c r="B146" s="3" t="s">
        <v>16</v>
      </c>
      <c r="C146" s="3">
        <v>25</v>
      </c>
      <c r="D146" s="3" t="s">
        <v>38</v>
      </c>
      <c r="E146" s="4">
        <v>1500</v>
      </c>
      <c r="F146" s="3" t="s">
        <v>44</v>
      </c>
      <c r="G146" s="4">
        <v>300</v>
      </c>
      <c r="H146" s="5">
        <v>44303</v>
      </c>
      <c r="I146" s="5" t="s">
        <v>19</v>
      </c>
      <c r="J146" s="3" t="s">
        <v>40</v>
      </c>
      <c r="K146" s="4">
        <v>180</v>
      </c>
      <c r="L146" s="3" t="s">
        <v>41</v>
      </c>
      <c r="M146" s="2" t="s">
        <v>30</v>
      </c>
      <c r="N146" s="2" t="s">
        <v>104</v>
      </c>
      <c r="O146" s="2" t="s">
        <v>21</v>
      </c>
      <c r="P146" s="6">
        <f>T_CURSOS[[#This Row],[IMPORTE PROFESOR]]+T_CURSOS[[#This Row],[IMPORTE COMERCIAL]]</f>
        <v>480</v>
      </c>
      <c r="Q146" s="6">
        <f>T_CURSOS[[#This Row],[IMPORTE CLIENTE]]-T_CURSOS[[#This Row],[GASTO]]</f>
        <v>1020</v>
      </c>
      <c r="R146" s="7">
        <f>T_CURSOS[[#This Row],[BENEFICIO]]/T_CURSOS[[#This Row],[IMPORTE CLIENTE]]</f>
        <v>0.68</v>
      </c>
    </row>
    <row r="147" spans="1:18" x14ac:dyDescent="0.2">
      <c r="A147" s="2" t="s">
        <v>199</v>
      </c>
      <c r="B147" s="3" t="s">
        <v>16</v>
      </c>
      <c r="C147" s="3">
        <v>15</v>
      </c>
      <c r="D147" s="3" t="s">
        <v>43</v>
      </c>
      <c r="E147" s="4">
        <v>600</v>
      </c>
      <c r="F147" s="3" t="s">
        <v>27</v>
      </c>
      <c r="G147" s="4">
        <v>180</v>
      </c>
      <c r="H147" s="5">
        <v>44380</v>
      </c>
      <c r="I147" s="5" t="s">
        <v>19</v>
      </c>
      <c r="J147" s="3" t="s">
        <v>20</v>
      </c>
      <c r="K147" s="4">
        <v>60</v>
      </c>
      <c r="L147" s="3" t="s">
        <v>41</v>
      </c>
      <c r="M147" s="2" t="s">
        <v>45</v>
      </c>
      <c r="N147" s="2" t="s">
        <v>46</v>
      </c>
      <c r="O147" s="2" t="s">
        <v>21</v>
      </c>
      <c r="P147" s="6">
        <f>T_CURSOS[[#This Row],[IMPORTE PROFESOR]]+T_CURSOS[[#This Row],[IMPORTE COMERCIAL]]</f>
        <v>240</v>
      </c>
      <c r="Q147" s="6">
        <f>T_CURSOS[[#This Row],[IMPORTE CLIENTE]]-T_CURSOS[[#This Row],[GASTO]]</f>
        <v>360</v>
      </c>
      <c r="R147" s="7">
        <f>T_CURSOS[[#This Row],[BENEFICIO]]/T_CURSOS[[#This Row],[IMPORTE CLIENTE]]</f>
        <v>0.6</v>
      </c>
    </row>
    <row r="148" spans="1:18" x14ac:dyDescent="0.2">
      <c r="A148" s="2" t="s">
        <v>200</v>
      </c>
      <c r="B148" s="3" t="s">
        <v>16</v>
      </c>
      <c r="C148" s="3">
        <v>10</v>
      </c>
      <c r="D148" s="3" t="s">
        <v>51</v>
      </c>
      <c r="E148" s="4">
        <v>400</v>
      </c>
      <c r="F148" s="3" t="s">
        <v>35</v>
      </c>
      <c r="G148" s="4">
        <v>120</v>
      </c>
      <c r="H148" s="5">
        <v>44471</v>
      </c>
      <c r="I148" s="5" t="s">
        <v>19</v>
      </c>
      <c r="J148" s="3" t="s">
        <v>29</v>
      </c>
      <c r="K148" s="4">
        <v>40</v>
      </c>
      <c r="L148" s="3" t="s">
        <v>21</v>
      </c>
      <c r="M148" s="2" t="s">
        <v>45</v>
      </c>
      <c r="N148" s="2" t="s">
        <v>46</v>
      </c>
      <c r="O148" s="2" t="s">
        <v>21</v>
      </c>
      <c r="P148" s="6">
        <f>T_CURSOS[[#This Row],[IMPORTE PROFESOR]]+T_CURSOS[[#This Row],[IMPORTE COMERCIAL]]</f>
        <v>160</v>
      </c>
      <c r="Q148" s="6">
        <f>T_CURSOS[[#This Row],[IMPORTE CLIENTE]]-T_CURSOS[[#This Row],[GASTO]]</f>
        <v>240</v>
      </c>
      <c r="R148" s="7">
        <f>T_CURSOS[[#This Row],[BENEFICIO]]/T_CURSOS[[#This Row],[IMPORTE CLIENTE]]</f>
        <v>0.6</v>
      </c>
    </row>
    <row r="149" spans="1:18" x14ac:dyDescent="0.2">
      <c r="A149" s="2" t="s">
        <v>201</v>
      </c>
      <c r="B149" s="3" t="s">
        <v>16</v>
      </c>
      <c r="C149" s="3">
        <v>12</v>
      </c>
      <c r="D149" s="3" t="s">
        <v>34</v>
      </c>
      <c r="E149" s="4">
        <v>480</v>
      </c>
      <c r="F149" s="3" t="s">
        <v>39</v>
      </c>
      <c r="G149" s="4">
        <v>144</v>
      </c>
      <c r="H149" s="5">
        <v>44069</v>
      </c>
      <c r="I149" s="5" t="s">
        <v>19</v>
      </c>
      <c r="J149" s="3" t="s">
        <v>36</v>
      </c>
      <c r="K149" s="4">
        <v>48</v>
      </c>
      <c r="L149" s="3" t="s">
        <v>41</v>
      </c>
      <c r="M149" s="2" t="s">
        <v>22</v>
      </c>
      <c r="N149" s="2" t="s">
        <v>23</v>
      </c>
      <c r="O149" s="2" t="s">
        <v>21</v>
      </c>
      <c r="P149" s="6">
        <f>T_CURSOS[[#This Row],[IMPORTE PROFESOR]]+T_CURSOS[[#This Row],[IMPORTE COMERCIAL]]</f>
        <v>192</v>
      </c>
      <c r="Q149" s="6">
        <f>T_CURSOS[[#This Row],[IMPORTE CLIENTE]]-T_CURSOS[[#This Row],[GASTO]]</f>
        <v>288</v>
      </c>
      <c r="R149" s="7">
        <f>T_CURSOS[[#This Row],[BENEFICIO]]/T_CURSOS[[#This Row],[IMPORTE CLIENTE]]</f>
        <v>0.6</v>
      </c>
    </row>
    <row r="150" spans="1:18" x14ac:dyDescent="0.2">
      <c r="A150" s="2" t="s">
        <v>202</v>
      </c>
      <c r="B150" s="3" t="s">
        <v>25</v>
      </c>
      <c r="C150" s="3">
        <v>15</v>
      </c>
      <c r="D150" s="3" t="s">
        <v>56</v>
      </c>
      <c r="E150" s="4">
        <v>600</v>
      </c>
      <c r="F150" s="3" t="s">
        <v>44</v>
      </c>
      <c r="G150" s="4">
        <v>180</v>
      </c>
      <c r="H150" s="5">
        <v>43694</v>
      </c>
      <c r="I150" s="5" t="s">
        <v>28</v>
      </c>
      <c r="J150" s="3" t="s">
        <v>40</v>
      </c>
      <c r="K150" s="4">
        <v>60</v>
      </c>
      <c r="L150" s="3" t="s">
        <v>21</v>
      </c>
      <c r="M150" s="2" t="s">
        <v>22</v>
      </c>
      <c r="N150" s="2" t="s">
        <v>73</v>
      </c>
      <c r="O150" s="2" t="s">
        <v>21</v>
      </c>
      <c r="P150" s="6">
        <f>T_CURSOS[[#This Row],[IMPORTE PROFESOR]]+T_CURSOS[[#This Row],[IMPORTE COMERCIAL]]</f>
        <v>240</v>
      </c>
      <c r="Q150" s="6">
        <f>T_CURSOS[[#This Row],[IMPORTE CLIENTE]]-T_CURSOS[[#This Row],[GASTO]]</f>
        <v>360</v>
      </c>
      <c r="R150" s="7">
        <f>T_CURSOS[[#This Row],[BENEFICIO]]/T_CURSOS[[#This Row],[IMPORTE CLIENTE]]</f>
        <v>0.6</v>
      </c>
    </row>
    <row r="151" spans="1:18" x14ac:dyDescent="0.2">
      <c r="A151" s="2" t="s">
        <v>203</v>
      </c>
      <c r="B151" s="3" t="s">
        <v>33</v>
      </c>
      <c r="C151" s="3">
        <v>25</v>
      </c>
      <c r="D151" s="3" t="s">
        <v>56</v>
      </c>
      <c r="E151" s="4">
        <v>750</v>
      </c>
      <c r="F151" s="3" t="s">
        <v>27</v>
      </c>
      <c r="G151" s="4">
        <v>300</v>
      </c>
      <c r="H151" s="5">
        <v>44447</v>
      </c>
      <c r="I151" s="5" t="s">
        <v>28</v>
      </c>
      <c r="J151" s="3" t="s">
        <v>29</v>
      </c>
      <c r="K151" s="4">
        <v>60</v>
      </c>
      <c r="L151" s="3" t="s">
        <v>21</v>
      </c>
      <c r="M151" s="2" t="s">
        <v>22</v>
      </c>
      <c r="N151" s="2" t="s">
        <v>73</v>
      </c>
      <c r="O151" s="2" t="s">
        <v>21</v>
      </c>
      <c r="P151" s="6">
        <f>T_CURSOS[[#This Row],[IMPORTE PROFESOR]]+T_CURSOS[[#This Row],[IMPORTE COMERCIAL]]</f>
        <v>360</v>
      </c>
      <c r="Q151" s="6">
        <f>T_CURSOS[[#This Row],[IMPORTE CLIENTE]]-T_CURSOS[[#This Row],[GASTO]]</f>
        <v>390</v>
      </c>
      <c r="R151" s="7">
        <f>T_CURSOS[[#This Row],[BENEFICIO]]/T_CURSOS[[#This Row],[IMPORTE CLIENTE]]</f>
        <v>0.52</v>
      </c>
    </row>
    <row r="152" spans="1:18" x14ac:dyDescent="0.2">
      <c r="A152" s="2" t="s">
        <v>204</v>
      </c>
      <c r="B152" s="3" t="s">
        <v>16</v>
      </c>
      <c r="C152" s="3">
        <v>15</v>
      </c>
      <c r="D152" s="3" t="s">
        <v>51</v>
      </c>
      <c r="E152" s="4">
        <v>450</v>
      </c>
      <c r="F152" s="3" t="s">
        <v>35</v>
      </c>
      <c r="G152" s="4">
        <v>180</v>
      </c>
      <c r="H152" s="5">
        <v>44210</v>
      </c>
      <c r="I152" s="5" t="s">
        <v>28</v>
      </c>
      <c r="J152" s="3" t="s">
        <v>36</v>
      </c>
      <c r="K152" s="4">
        <v>36</v>
      </c>
      <c r="L152" s="3" t="s">
        <v>21</v>
      </c>
      <c r="M152" s="2" t="s">
        <v>45</v>
      </c>
      <c r="N152" s="2" t="s">
        <v>46</v>
      </c>
      <c r="O152" s="2" t="s">
        <v>21</v>
      </c>
      <c r="P152" s="6">
        <f>T_CURSOS[[#This Row],[IMPORTE PROFESOR]]+T_CURSOS[[#This Row],[IMPORTE COMERCIAL]]</f>
        <v>216</v>
      </c>
      <c r="Q152" s="6">
        <f>T_CURSOS[[#This Row],[IMPORTE CLIENTE]]-T_CURSOS[[#This Row],[GASTO]]</f>
        <v>234</v>
      </c>
      <c r="R152" s="7">
        <f>T_CURSOS[[#This Row],[BENEFICIO]]/T_CURSOS[[#This Row],[IMPORTE CLIENTE]]</f>
        <v>0.52</v>
      </c>
    </row>
    <row r="153" spans="1:18" x14ac:dyDescent="0.2">
      <c r="A153" s="2" t="s">
        <v>205</v>
      </c>
      <c r="B153" s="3" t="s">
        <v>16</v>
      </c>
      <c r="C153" s="3">
        <v>20</v>
      </c>
      <c r="D153" s="3" t="s">
        <v>43</v>
      </c>
      <c r="E153" s="4">
        <v>600</v>
      </c>
      <c r="F153" s="3" t="s">
        <v>39</v>
      </c>
      <c r="G153" s="4">
        <v>240</v>
      </c>
      <c r="H153" s="5">
        <v>44420</v>
      </c>
      <c r="I153" s="5" t="s">
        <v>28</v>
      </c>
      <c r="J153" s="3" t="s">
        <v>40</v>
      </c>
      <c r="K153" s="4">
        <v>48</v>
      </c>
      <c r="L153" s="3" t="s">
        <v>21</v>
      </c>
      <c r="M153" s="2" t="s">
        <v>45</v>
      </c>
      <c r="N153" s="2" t="s">
        <v>46</v>
      </c>
      <c r="O153" s="2" t="s">
        <v>21</v>
      </c>
      <c r="P153" s="6">
        <f>T_CURSOS[[#This Row],[IMPORTE PROFESOR]]+T_CURSOS[[#This Row],[IMPORTE COMERCIAL]]</f>
        <v>288</v>
      </c>
      <c r="Q153" s="6">
        <f>T_CURSOS[[#This Row],[IMPORTE CLIENTE]]-T_CURSOS[[#This Row],[GASTO]]</f>
        <v>312</v>
      </c>
      <c r="R153" s="7">
        <f>T_CURSOS[[#This Row],[BENEFICIO]]/T_CURSOS[[#This Row],[IMPORTE CLIENTE]]</f>
        <v>0.52</v>
      </c>
    </row>
    <row r="154" spans="1:18" x14ac:dyDescent="0.2">
      <c r="A154" s="2" t="s">
        <v>206</v>
      </c>
      <c r="B154" s="3" t="s">
        <v>16</v>
      </c>
      <c r="C154" s="3">
        <v>20</v>
      </c>
      <c r="D154" s="3" t="s">
        <v>61</v>
      </c>
      <c r="E154" s="4">
        <v>500</v>
      </c>
      <c r="F154" s="3" t="s">
        <v>18</v>
      </c>
      <c r="G154" s="4">
        <v>240</v>
      </c>
      <c r="H154" s="5">
        <v>43672</v>
      </c>
      <c r="I154" s="5" t="s">
        <v>57</v>
      </c>
      <c r="J154" s="3" t="s">
        <v>20</v>
      </c>
      <c r="K154" s="4">
        <v>35</v>
      </c>
      <c r="L154" s="3" t="s">
        <v>21</v>
      </c>
      <c r="M154" s="2" t="s">
        <v>22</v>
      </c>
      <c r="N154" s="2" t="s">
        <v>23</v>
      </c>
      <c r="O154" s="2" t="s">
        <v>41</v>
      </c>
      <c r="P154" s="6">
        <f>T_CURSOS[[#This Row],[IMPORTE PROFESOR]]+T_CURSOS[[#This Row],[IMPORTE COMERCIAL]]</f>
        <v>275</v>
      </c>
      <c r="Q154" s="6">
        <f>T_CURSOS[[#This Row],[IMPORTE CLIENTE]]-T_CURSOS[[#This Row],[GASTO]]</f>
        <v>225</v>
      </c>
      <c r="R154" s="7">
        <f>T_CURSOS[[#This Row],[BENEFICIO]]/T_CURSOS[[#This Row],[IMPORTE CLIENTE]]</f>
        <v>0.45</v>
      </c>
    </row>
    <row r="155" spans="1:18" x14ac:dyDescent="0.2">
      <c r="A155" s="2" t="s">
        <v>207</v>
      </c>
      <c r="B155" s="3" t="s">
        <v>25</v>
      </c>
      <c r="C155" s="3">
        <v>30</v>
      </c>
      <c r="D155" s="3" t="s">
        <v>61</v>
      </c>
      <c r="E155" s="4">
        <v>750</v>
      </c>
      <c r="F155" s="3" t="s">
        <v>27</v>
      </c>
      <c r="G155" s="4">
        <v>360</v>
      </c>
      <c r="H155" s="5">
        <v>44351</v>
      </c>
      <c r="I155" s="5" t="s">
        <v>57</v>
      </c>
      <c r="J155" s="3" t="s">
        <v>29</v>
      </c>
      <c r="K155" s="4">
        <v>52.5</v>
      </c>
      <c r="L155" s="3" t="s">
        <v>21</v>
      </c>
      <c r="M155" s="2" t="s">
        <v>22</v>
      </c>
      <c r="N155" s="2" t="s">
        <v>23</v>
      </c>
      <c r="O155" s="2" t="s">
        <v>21</v>
      </c>
      <c r="P155" s="6">
        <f>T_CURSOS[[#This Row],[IMPORTE PROFESOR]]+T_CURSOS[[#This Row],[IMPORTE COMERCIAL]]</f>
        <v>412.5</v>
      </c>
      <c r="Q155" s="6">
        <f>T_CURSOS[[#This Row],[IMPORTE CLIENTE]]-T_CURSOS[[#This Row],[GASTO]]</f>
        <v>337.5</v>
      </c>
      <c r="R155" s="7">
        <f>T_CURSOS[[#This Row],[BENEFICIO]]/T_CURSOS[[#This Row],[IMPORTE CLIENTE]]</f>
        <v>0.45</v>
      </c>
    </row>
    <row r="156" spans="1:18" x14ac:dyDescent="0.2">
      <c r="A156" s="2" t="s">
        <v>208</v>
      </c>
      <c r="B156" s="3" t="s">
        <v>25</v>
      </c>
      <c r="C156" s="3">
        <v>35</v>
      </c>
      <c r="D156" s="3" t="s">
        <v>56</v>
      </c>
      <c r="E156" s="4">
        <v>875</v>
      </c>
      <c r="F156" s="3" t="s">
        <v>35</v>
      </c>
      <c r="G156" s="4">
        <v>420</v>
      </c>
      <c r="H156" s="5">
        <v>43934</v>
      </c>
      <c r="I156" s="5" t="s">
        <v>57</v>
      </c>
      <c r="J156" s="3" t="s">
        <v>36</v>
      </c>
      <c r="K156" s="4">
        <v>61.25</v>
      </c>
      <c r="L156" s="3" t="s">
        <v>21</v>
      </c>
      <c r="M156" s="2" t="s">
        <v>22</v>
      </c>
      <c r="N156" s="2" t="s">
        <v>73</v>
      </c>
      <c r="O156" s="2" t="s">
        <v>21</v>
      </c>
      <c r="P156" s="6">
        <f>T_CURSOS[[#This Row],[IMPORTE PROFESOR]]+T_CURSOS[[#This Row],[IMPORTE COMERCIAL]]</f>
        <v>481.25</v>
      </c>
      <c r="Q156" s="6">
        <f>T_CURSOS[[#This Row],[IMPORTE CLIENTE]]-T_CURSOS[[#This Row],[GASTO]]</f>
        <v>393.75</v>
      </c>
      <c r="R156" s="7">
        <f>T_CURSOS[[#This Row],[BENEFICIO]]/T_CURSOS[[#This Row],[IMPORTE CLIENTE]]</f>
        <v>0.45</v>
      </c>
    </row>
    <row r="157" spans="1:18" x14ac:dyDescent="0.2">
      <c r="A157" s="2" t="s">
        <v>209</v>
      </c>
      <c r="B157" s="3" t="s">
        <v>25</v>
      </c>
      <c r="C157" s="3">
        <v>40</v>
      </c>
      <c r="D157" s="3" t="s">
        <v>43</v>
      </c>
      <c r="E157" s="4">
        <v>1000</v>
      </c>
      <c r="F157" s="3" t="s">
        <v>35</v>
      </c>
      <c r="G157" s="4">
        <v>480</v>
      </c>
      <c r="H157" s="5">
        <v>44234</v>
      </c>
      <c r="I157" s="5" t="s">
        <v>28</v>
      </c>
      <c r="J157" s="3" t="s">
        <v>20</v>
      </c>
      <c r="K157" s="4">
        <v>70</v>
      </c>
      <c r="L157" s="3" t="s">
        <v>21</v>
      </c>
      <c r="M157" s="2" t="s">
        <v>45</v>
      </c>
      <c r="N157" s="2" t="s">
        <v>46</v>
      </c>
      <c r="O157" s="2" t="s">
        <v>41</v>
      </c>
      <c r="P157" s="6">
        <f>T_CURSOS[[#This Row],[IMPORTE PROFESOR]]+T_CURSOS[[#This Row],[IMPORTE COMERCIAL]]</f>
        <v>550</v>
      </c>
      <c r="Q157" s="6">
        <f>T_CURSOS[[#This Row],[IMPORTE CLIENTE]]-T_CURSOS[[#This Row],[GASTO]]</f>
        <v>450</v>
      </c>
      <c r="R157" s="7">
        <f>T_CURSOS[[#This Row],[BENEFICIO]]/T_CURSOS[[#This Row],[IMPORTE CLIENTE]]</f>
        <v>0.45</v>
      </c>
    </row>
    <row r="158" spans="1:18" x14ac:dyDescent="0.2">
      <c r="A158" s="2" t="s">
        <v>210</v>
      </c>
      <c r="B158" s="3" t="s">
        <v>53</v>
      </c>
      <c r="C158" s="3">
        <v>40</v>
      </c>
      <c r="D158" s="3" t="s">
        <v>38</v>
      </c>
      <c r="E158" s="4">
        <v>1200</v>
      </c>
      <c r="F158" s="3" t="s">
        <v>39</v>
      </c>
      <c r="G158" s="4">
        <v>480</v>
      </c>
      <c r="H158" s="5">
        <v>43467</v>
      </c>
      <c r="I158" s="5" t="s">
        <v>28</v>
      </c>
      <c r="J158" s="3" t="s">
        <v>29</v>
      </c>
      <c r="K158" s="4">
        <v>96</v>
      </c>
      <c r="L158" s="3" t="s">
        <v>21</v>
      </c>
      <c r="M158" s="2" t="s">
        <v>30</v>
      </c>
      <c r="N158" s="2" t="s">
        <v>104</v>
      </c>
      <c r="O158" s="2" t="s">
        <v>21</v>
      </c>
      <c r="P158" s="6">
        <f>T_CURSOS[[#This Row],[IMPORTE PROFESOR]]+T_CURSOS[[#This Row],[IMPORTE COMERCIAL]]</f>
        <v>576</v>
      </c>
      <c r="Q158" s="6">
        <f>T_CURSOS[[#This Row],[IMPORTE CLIENTE]]-T_CURSOS[[#This Row],[GASTO]]</f>
        <v>624</v>
      </c>
      <c r="R158" s="7">
        <f>T_CURSOS[[#This Row],[BENEFICIO]]/T_CURSOS[[#This Row],[IMPORTE CLIENTE]]</f>
        <v>0.52</v>
      </c>
    </row>
    <row r="159" spans="1:18" x14ac:dyDescent="0.2">
      <c r="A159" s="2" t="s">
        <v>211</v>
      </c>
      <c r="B159" s="3" t="s">
        <v>55</v>
      </c>
      <c r="C159" s="3">
        <v>35</v>
      </c>
      <c r="D159" s="3" t="s">
        <v>43</v>
      </c>
      <c r="E159" s="4">
        <v>1400</v>
      </c>
      <c r="F159" s="3" t="s">
        <v>44</v>
      </c>
      <c r="G159" s="4">
        <v>420</v>
      </c>
      <c r="H159" s="5">
        <v>43742</v>
      </c>
      <c r="I159" s="5" t="s">
        <v>28</v>
      </c>
      <c r="J159" s="3" t="s">
        <v>36</v>
      </c>
      <c r="K159" s="4">
        <v>140</v>
      </c>
      <c r="L159" s="3" t="s">
        <v>21</v>
      </c>
      <c r="M159" s="2" t="s">
        <v>45</v>
      </c>
      <c r="N159" s="2" t="s">
        <v>46</v>
      </c>
      <c r="O159" s="2" t="s">
        <v>21</v>
      </c>
      <c r="P159" s="6">
        <f>T_CURSOS[[#This Row],[IMPORTE PROFESOR]]+T_CURSOS[[#This Row],[IMPORTE COMERCIAL]]</f>
        <v>560</v>
      </c>
      <c r="Q159" s="6">
        <f>T_CURSOS[[#This Row],[IMPORTE CLIENTE]]-T_CURSOS[[#This Row],[GASTO]]</f>
        <v>840</v>
      </c>
      <c r="R159" s="7">
        <f>T_CURSOS[[#This Row],[BENEFICIO]]/T_CURSOS[[#This Row],[IMPORTE CLIENTE]]</f>
        <v>0.6</v>
      </c>
    </row>
    <row r="160" spans="1:18" x14ac:dyDescent="0.2">
      <c r="A160" s="2" t="s">
        <v>212</v>
      </c>
      <c r="B160" s="3" t="s">
        <v>16</v>
      </c>
      <c r="C160" s="3">
        <v>45</v>
      </c>
      <c r="D160" s="3" t="s">
        <v>34</v>
      </c>
      <c r="E160" s="4">
        <v>1125</v>
      </c>
      <c r="F160" s="3" t="s">
        <v>27</v>
      </c>
      <c r="G160" s="4">
        <v>540</v>
      </c>
      <c r="H160" s="5">
        <v>43809</v>
      </c>
      <c r="I160" s="5" t="s">
        <v>28</v>
      </c>
      <c r="J160" s="3" t="s">
        <v>40</v>
      </c>
      <c r="K160" s="4">
        <v>78.75</v>
      </c>
      <c r="L160" s="3" t="s">
        <v>21</v>
      </c>
      <c r="M160" s="2" t="s">
        <v>22</v>
      </c>
      <c r="N160" s="2" t="s">
        <v>101</v>
      </c>
      <c r="O160" s="2" t="s">
        <v>41</v>
      </c>
      <c r="P160" s="6">
        <f>T_CURSOS[[#This Row],[IMPORTE PROFESOR]]+T_CURSOS[[#This Row],[IMPORTE COMERCIAL]]</f>
        <v>618.75</v>
      </c>
      <c r="Q160" s="6">
        <f>T_CURSOS[[#This Row],[IMPORTE CLIENTE]]-T_CURSOS[[#This Row],[GASTO]]</f>
        <v>506.25</v>
      </c>
      <c r="R160" s="7">
        <f>T_CURSOS[[#This Row],[BENEFICIO]]/T_CURSOS[[#This Row],[IMPORTE CLIENTE]]</f>
        <v>0.45</v>
      </c>
    </row>
    <row r="161" spans="1:18" x14ac:dyDescent="0.2">
      <c r="A161" s="2" t="s">
        <v>213</v>
      </c>
      <c r="B161" s="3" t="s">
        <v>16</v>
      </c>
      <c r="C161" s="3">
        <v>25</v>
      </c>
      <c r="D161" s="3" t="s">
        <v>38</v>
      </c>
      <c r="E161" s="4">
        <v>625</v>
      </c>
      <c r="F161" s="3" t="s">
        <v>35</v>
      </c>
      <c r="G161" s="4">
        <v>300</v>
      </c>
      <c r="H161" s="5">
        <v>43784</v>
      </c>
      <c r="I161" s="5" t="s">
        <v>57</v>
      </c>
      <c r="J161" s="3" t="s">
        <v>29</v>
      </c>
      <c r="K161" s="4">
        <v>43.75</v>
      </c>
      <c r="L161" s="3" t="s">
        <v>21</v>
      </c>
      <c r="M161" s="2" t="s">
        <v>30</v>
      </c>
      <c r="N161" s="2" t="s">
        <v>104</v>
      </c>
      <c r="O161" s="2" t="s">
        <v>21</v>
      </c>
      <c r="P161" s="6">
        <f>T_CURSOS[[#This Row],[IMPORTE PROFESOR]]+T_CURSOS[[#This Row],[IMPORTE COMERCIAL]]</f>
        <v>343.75</v>
      </c>
      <c r="Q161" s="6">
        <f>T_CURSOS[[#This Row],[IMPORTE CLIENTE]]-T_CURSOS[[#This Row],[GASTO]]</f>
        <v>281.25</v>
      </c>
      <c r="R161" s="7">
        <f>T_CURSOS[[#This Row],[BENEFICIO]]/T_CURSOS[[#This Row],[IMPORTE CLIENTE]]</f>
        <v>0.45</v>
      </c>
    </row>
    <row r="162" spans="1:18" x14ac:dyDescent="0.2">
      <c r="A162" s="2" t="s">
        <v>214</v>
      </c>
      <c r="B162" s="3" t="s">
        <v>16</v>
      </c>
      <c r="C162" s="3">
        <v>20</v>
      </c>
      <c r="D162" s="3" t="s">
        <v>43</v>
      </c>
      <c r="E162" s="4">
        <v>500</v>
      </c>
      <c r="F162" s="3" t="s">
        <v>39</v>
      </c>
      <c r="G162" s="4">
        <v>240</v>
      </c>
      <c r="H162" s="5">
        <v>43547</v>
      </c>
      <c r="I162" s="5" t="s">
        <v>57</v>
      </c>
      <c r="J162" s="3" t="s">
        <v>36</v>
      </c>
      <c r="K162" s="4">
        <v>35</v>
      </c>
      <c r="L162" s="3" t="s">
        <v>21</v>
      </c>
      <c r="M162" s="2" t="s">
        <v>45</v>
      </c>
      <c r="N162" s="2" t="s">
        <v>46</v>
      </c>
      <c r="O162" s="2" t="s">
        <v>21</v>
      </c>
      <c r="P162" s="6">
        <f>T_CURSOS[[#This Row],[IMPORTE PROFESOR]]+T_CURSOS[[#This Row],[IMPORTE COMERCIAL]]</f>
        <v>275</v>
      </c>
      <c r="Q162" s="6">
        <f>T_CURSOS[[#This Row],[IMPORTE CLIENTE]]-T_CURSOS[[#This Row],[GASTO]]</f>
        <v>225</v>
      </c>
      <c r="R162" s="7">
        <f>T_CURSOS[[#This Row],[BENEFICIO]]/T_CURSOS[[#This Row],[IMPORTE CLIENTE]]</f>
        <v>0.45</v>
      </c>
    </row>
    <row r="163" spans="1:18" x14ac:dyDescent="0.2">
      <c r="A163" s="2" t="s">
        <v>215</v>
      </c>
      <c r="B163" s="3" t="s">
        <v>25</v>
      </c>
      <c r="C163" s="3">
        <v>10</v>
      </c>
      <c r="D163" s="3" t="s">
        <v>38</v>
      </c>
      <c r="E163" s="4">
        <v>300</v>
      </c>
      <c r="F163" s="3" t="s">
        <v>18</v>
      </c>
      <c r="G163" s="4">
        <v>120</v>
      </c>
      <c r="H163" s="5">
        <v>43511</v>
      </c>
      <c r="I163" s="5" t="s">
        <v>57</v>
      </c>
      <c r="J163" s="3" t="s">
        <v>40</v>
      </c>
      <c r="K163" s="4">
        <v>24</v>
      </c>
      <c r="L163" s="3" t="s">
        <v>41</v>
      </c>
      <c r="M163" s="2" t="s">
        <v>30</v>
      </c>
      <c r="N163" s="2" t="s">
        <v>104</v>
      </c>
      <c r="O163" s="2" t="s">
        <v>41</v>
      </c>
      <c r="P163" s="6">
        <f>T_CURSOS[[#This Row],[IMPORTE PROFESOR]]+T_CURSOS[[#This Row],[IMPORTE COMERCIAL]]</f>
        <v>144</v>
      </c>
      <c r="Q163" s="6">
        <f>T_CURSOS[[#This Row],[IMPORTE CLIENTE]]-T_CURSOS[[#This Row],[GASTO]]</f>
        <v>156</v>
      </c>
      <c r="R163" s="7">
        <f>T_CURSOS[[#This Row],[BENEFICIO]]/T_CURSOS[[#This Row],[IMPORTE CLIENTE]]</f>
        <v>0.52</v>
      </c>
    </row>
    <row r="164" spans="1:18" x14ac:dyDescent="0.2">
      <c r="A164" s="2" t="s">
        <v>216</v>
      </c>
      <c r="B164" s="3" t="s">
        <v>25</v>
      </c>
      <c r="C164" s="3">
        <v>12</v>
      </c>
      <c r="D164" s="3" t="s">
        <v>34</v>
      </c>
      <c r="E164" s="4">
        <v>360</v>
      </c>
      <c r="F164" s="3" t="s">
        <v>27</v>
      </c>
      <c r="G164" s="4">
        <v>144</v>
      </c>
      <c r="H164" s="5">
        <v>43717</v>
      </c>
      <c r="I164" s="5" t="s">
        <v>57</v>
      </c>
      <c r="J164" s="3" t="s">
        <v>20</v>
      </c>
      <c r="K164" s="4">
        <v>28.8</v>
      </c>
      <c r="L164" s="3" t="s">
        <v>41</v>
      </c>
      <c r="M164" s="2" t="s">
        <v>22</v>
      </c>
      <c r="N164" s="2" t="s">
        <v>101</v>
      </c>
      <c r="O164" s="2" t="s">
        <v>41</v>
      </c>
      <c r="P164" s="6">
        <f>T_CURSOS[[#This Row],[IMPORTE PROFESOR]]+T_CURSOS[[#This Row],[IMPORTE COMERCIAL]]</f>
        <v>172.8</v>
      </c>
      <c r="Q164" s="6">
        <f>T_CURSOS[[#This Row],[IMPORTE CLIENTE]]-T_CURSOS[[#This Row],[GASTO]]</f>
        <v>187.2</v>
      </c>
      <c r="R164" s="7">
        <f>T_CURSOS[[#This Row],[BENEFICIO]]/T_CURSOS[[#This Row],[IMPORTE CLIENTE]]</f>
        <v>0.52</v>
      </c>
    </row>
    <row r="165" spans="1:18" x14ac:dyDescent="0.2">
      <c r="A165" s="2" t="s">
        <v>217</v>
      </c>
      <c r="B165" s="3" t="s">
        <v>25</v>
      </c>
      <c r="C165" s="3">
        <v>15</v>
      </c>
      <c r="D165" s="3" t="s">
        <v>38</v>
      </c>
      <c r="E165" s="4">
        <v>450</v>
      </c>
      <c r="F165" s="3" t="s">
        <v>35</v>
      </c>
      <c r="G165" s="4">
        <v>180</v>
      </c>
      <c r="H165" s="5">
        <v>43965</v>
      </c>
      <c r="I165" s="5" t="s">
        <v>57</v>
      </c>
      <c r="J165" s="3" t="s">
        <v>29</v>
      </c>
      <c r="K165" s="4">
        <v>36</v>
      </c>
      <c r="L165" s="3" t="s">
        <v>41</v>
      </c>
      <c r="M165" s="2" t="s">
        <v>30</v>
      </c>
      <c r="N165" s="2" t="s">
        <v>31</v>
      </c>
      <c r="O165" s="2" t="s">
        <v>21</v>
      </c>
      <c r="P165" s="6">
        <f>T_CURSOS[[#This Row],[IMPORTE PROFESOR]]+T_CURSOS[[#This Row],[IMPORTE COMERCIAL]]</f>
        <v>216</v>
      </c>
      <c r="Q165" s="6">
        <f>T_CURSOS[[#This Row],[IMPORTE CLIENTE]]-T_CURSOS[[#This Row],[GASTO]]</f>
        <v>234</v>
      </c>
      <c r="R165" s="7">
        <f>T_CURSOS[[#This Row],[BENEFICIO]]/T_CURSOS[[#This Row],[IMPORTE CLIENTE]]</f>
        <v>0.52</v>
      </c>
    </row>
    <row r="166" spans="1:18" x14ac:dyDescent="0.2">
      <c r="A166" s="2" t="s">
        <v>218</v>
      </c>
      <c r="B166" s="3" t="s">
        <v>53</v>
      </c>
      <c r="C166" s="3">
        <v>20</v>
      </c>
      <c r="D166" s="3" t="s">
        <v>51</v>
      </c>
      <c r="E166" s="4">
        <v>500</v>
      </c>
      <c r="F166" s="3" t="s">
        <v>39</v>
      </c>
      <c r="G166" s="4">
        <v>240</v>
      </c>
      <c r="H166" s="5">
        <v>44079</v>
      </c>
      <c r="I166" s="5" t="s">
        <v>28</v>
      </c>
      <c r="J166" s="3" t="s">
        <v>36</v>
      </c>
      <c r="K166" s="4">
        <v>25</v>
      </c>
      <c r="L166" s="3" t="s">
        <v>41</v>
      </c>
      <c r="M166" s="2" t="s">
        <v>45</v>
      </c>
      <c r="N166" s="2" t="s">
        <v>82</v>
      </c>
      <c r="O166" s="2" t="s">
        <v>21</v>
      </c>
      <c r="P166" s="6">
        <f>T_CURSOS[[#This Row],[IMPORTE PROFESOR]]+T_CURSOS[[#This Row],[IMPORTE COMERCIAL]]</f>
        <v>265</v>
      </c>
      <c r="Q166" s="6">
        <f>T_CURSOS[[#This Row],[IMPORTE CLIENTE]]-T_CURSOS[[#This Row],[GASTO]]</f>
        <v>235</v>
      </c>
      <c r="R166" s="7">
        <f>T_CURSOS[[#This Row],[BENEFICIO]]/T_CURSOS[[#This Row],[IMPORTE CLIENTE]]</f>
        <v>0.47</v>
      </c>
    </row>
    <row r="167" spans="1:18" x14ac:dyDescent="0.2">
      <c r="A167" s="2" t="s">
        <v>219</v>
      </c>
      <c r="B167" s="3" t="s">
        <v>55</v>
      </c>
      <c r="C167" s="3">
        <v>25</v>
      </c>
      <c r="D167" s="3" t="s">
        <v>17</v>
      </c>
      <c r="E167" s="4">
        <v>625</v>
      </c>
      <c r="F167" s="3" t="s">
        <v>44</v>
      </c>
      <c r="G167" s="4">
        <v>300</v>
      </c>
      <c r="H167" s="5">
        <v>44323</v>
      </c>
      <c r="I167" s="5" t="s">
        <v>19</v>
      </c>
      <c r="J167" s="3" t="s">
        <v>40</v>
      </c>
      <c r="K167" s="4">
        <v>31.25</v>
      </c>
      <c r="L167" s="3" t="s">
        <v>41</v>
      </c>
      <c r="M167" s="2" t="s">
        <v>22</v>
      </c>
      <c r="N167" s="2" t="s">
        <v>23</v>
      </c>
      <c r="O167" s="2" t="s">
        <v>41</v>
      </c>
      <c r="P167" s="6">
        <f>T_CURSOS[[#This Row],[IMPORTE PROFESOR]]+T_CURSOS[[#This Row],[IMPORTE COMERCIAL]]</f>
        <v>331.25</v>
      </c>
      <c r="Q167" s="6">
        <f>T_CURSOS[[#This Row],[IMPORTE CLIENTE]]-T_CURSOS[[#This Row],[GASTO]]</f>
        <v>293.75</v>
      </c>
      <c r="R167" s="7">
        <f>T_CURSOS[[#This Row],[BENEFICIO]]/T_CURSOS[[#This Row],[IMPORTE CLIENTE]]</f>
        <v>0.47</v>
      </c>
    </row>
    <row r="168" spans="1:18" x14ac:dyDescent="0.2">
      <c r="A168" s="2" t="s">
        <v>220</v>
      </c>
      <c r="B168" s="3" t="s">
        <v>55</v>
      </c>
      <c r="C168" s="3">
        <v>30</v>
      </c>
      <c r="D168" s="3" t="s">
        <v>26</v>
      </c>
      <c r="E168" s="4">
        <v>750</v>
      </c>
      <c r="F168" s="3" t="s">
        <v>27</v>
      </c>
      <c r="G168" s="4">
        <v>360</v>
      </c>
      <c r="H168" s="5">
        <v>43697</v>
      </c>
      <c r="I168" s="5" t="s">
        <v>28</v>
      </c>
      <c r="J168" s="3" t="s">
        <v>20</v>
      </c>
      <c r="K168" s="4">
        <v>37.5</v>
      </c>
      <c r="L168" s="3" t="s">
        <v>41</v>
      </c>
      <c r="M168" s="2" t="s">
        <v>30</v>
      </c>
      <c r="N168" s="2" t="s">
        <v>31</v>
      </c>
      <c r="O168" s="2" t="s">
        <v>41</v>
      </c>
      <c r="P168" s="6">
        <f>T_CURSOS[[#This Row],[IMPORTE PROFESOR]]+T_CURSOS[[#This Row],[IMPORTE COMERCIAL]]</f>
        <v>397.5</v>
      </c>
      <c r="Q168" s="6">
        <f>T_CURSOS[[#This Row],[IMPORTE CLIENTE]]-T_CURSOS[[#This Row],[GASTO]]</f>
        <v>352.5</v>
      </c>
      <c r="R168" s="7">
        <f>T_CURSOS[[#This Row],[BENEFICIO]]/T_CURSOS[[#This Row],[IMPORTE CLIENTE]]</f>
        <v>0.47</v>
      </c>
    </row>
    <row r="169" spans="1:18" x14ac:dyDescent="0.2">
      <c r="A169" s="2" t="s">
        <v>221</v>
      </c>
      <c r="B169" s="3" t="s">
        <v>55</v>
      </c>
      <c r="C169" s="3">
        <v>40</v>
      </c>
      <c r="D169" s="3" t="s">
        <v>34</v>
      </c>
      <c r="E169" s="4">
        <v>1000</v>
      </c>
      <c r="F169" s="3" t="s">
        <v>35</v>
      </c>
      <c r="G169" s="4">
        <v>480</v>
      </c>
      <c r="H169" s="5">
        <v>44368</v>
      </c>
      <c r="I169" s="5" t="s">
        <v>19</v>
      </c>
      <c r="J169" s="3" t="s">
        <v>29</v>
      </c>
      <c r="K169" s="4">
        <v>50</v>
      </c>
      <c r="L169" s="3" t="s">
        <v>41</v>
      </c>
      <c r="M169" s="2" t="s">
        <v>22</v>
      </c>
      <c r="N169" s="2" t="s">
        <v>23</v>
      </c>
      <c r="O169" s="2" t="s">
        <v>21</v>
      </c>
      <c r="P169" s="6">
        <f>T_CURSOS[[#This Row],[IMPORTE PROFESOR]]+T_CURSOS[[#This Row],[IMPORTE COMERCIAL]]</f>
        <v>530</v>
      </c>
      <c r="Q169" s="6">
        <f>T_CURSOS[[#This Row],[IMPORTE CLIENTE]]-T_CURSOS[[#This Row],[GASTO]]</f>
        <v>470</v>
      </c>
      <c r="R169" s="7">
        <f>T_CURSOS[[#This Row],[BENEFICIO]]/T_CURSOS[[#This Row],[IMPORTE CLIENTE]]</f>
        <v>0.47</v>
      </c>
    </row>
    <row r="170" spans="1:18" x14ac:dyDescent="0.2">
      <c r="A170" s="2" t="s">
        <v>222</v>
      </c>
      <c r="B170" s="3" t="s">
        <v>53</v>
      </c>
      <c r="C170" s="3">
        <v>35</v>
      </c>
      <c r="D170" s="3" t="s">
        <v>38</v>
      </c>
      <c r="E170" s="4">
        <v>875</v>
      </c>
      <c r="F170" s="3" t="s">
        <v>39</v>
      </c>
      <c r="G170" s="4">
        <v>420</v>
      </c>
      <c r="H170" s="5">
        <v>43733</v>
      </c>
      <c r="I170" s="5" t="s">
        <v>19</v>
      </c>
      <c r="J170" s="3" t="s">
        <v>36</v>
      </c>
      <c r="K170" s="4">
        <v>43.75</v>
      </c>
      <c r="L170" s="3" t="s">
        <v>41</v>
      </c>
      <c r="M170" s="2" t="s">
        <v>30</v>
      </c>
      <c r="N170" s="2" t="s">
        <v>31</v>
      </c>
      <c r="O170" s="2" t="s">
        <v>21</v>
      </c>
      <c r="P170" s="6">
        <f>T_CURSOS[[#This Row],[IMPORTE PROFESOR]]+T_CURSOS[[#This Row],[IMPORTE COMERCIAL]]</f>
        <v>463.75</v>
      </c>
      <c r="Q170" s="6">
        <f>T_CURSOS[[#This Row],[IMPORTE CLIENTE]]-T_CURSOS[[#This Row],[GASTO]]</f>
        <v>411.25</v>
      </c>
      <c r="R170" s="7">
        <f>T_CURSOS[[#This Row],[BENEFICIO]]/T_CURSOS[[#This Row],[IMPORTE CLIENTE]]</f>
        <v>0.47</v>
      </c>
    </row>
    <row r="171" spans="1:18" x14ac:dyDescent="0.2">
      <c r="A171" s="2" t="s">
        <v>223</v>
      </c>
      <c r="B171" s="3" t="s">
        <v>63</v>
      </c>
      <c r="C171" s="3">
        <v>45</v>
      </c>
      <c r="D171" s="3" t="s">
        <v>43</v>
      </c>
      <c r="E171" s="4">
        <v>3375</v>
      </c>
      <c r="F171" s="3" t="s">
        <v>44</v>
      </c>
      <c r="G171" s="4">
        <v>540</v>
      </c>
      <c r="H171" s="5">
        <v>44214</v>
      </c>
      <c r="I171" s="5" t="s">
        <v>19</v>
      </c>
      <c r="J171" s="3" t="s">
        <v>40</v>
      </c>
      <c r="K171" s="4">
        <v>506.25</v>
      </c>
      <c r="L171" s="3" t="s">
        <v>41</v>
      </c>
      <c r="M171" s="2" t="s">
        <v>45</v>
      </c>
      <c r="N171" s="2" t="s">
        <v>82</v>
      </c>
      <c r="O171" s="2" t="s">
        <v>41</v>
      </c>
      <c r="P171" s="6">
        <f>T_CURSOS[[#This Row],[IMPORTE PROFESOR]]+T_CURSOS[[#This Row],[IMPORTE COMERCIAL]]</f>
        <v>1046.25</v>
      </c>
      <c r="Q171" s="6">
        <f>T_CURSOS[[#This Row],[IMPORTE CLIENTE]]-T_CURSOS[[#This Row],[GASTO]]</f>
        <v>2328.75</v>
      </c>
      <c r="R171" s="7">
        <f>T_CURSOS[[#This Row],[BENEFICIO]]/T_CURSOS[[#This Row],[IMPORTE CLIENTE]]</f>
        <v>0.69</v>
      </c>
    </row>
    <row r="172" spans="1:18" x14ac:dyDescent="0.2">
      <c r="A172" s="2" t="s">
        <v>224</v>
      </c>
      <c r="B172" s="3" t="s">
        <v>65</v>
      </c>
      <c r="C172" s="3">
        <v>18</v>
      </c>
      <c r="D172" s="3" t="s">
        <v>38</v>
      </c>
      <c r="E172" s="4">
        <v>1080</v>
      </c>
      <c r="F172" s="3" t="s">
        <v>27</v>
      </c>
      <c r="G172" s="4">
        <v>216</v>
      </c>
      <c r="H172" s="5">
        <v>43543</v>
      </c>
      <c r="I172" s="5" t="s">
        <v>19</v>
      </c>
      <c r="J172" s="3" t="s">
        <v>29</v>
      </c>
      <c r="K172" s="4">
        <v>129.6</v>
      </c>
      <c r="L172" s="3" t="s">
        <v>21</v>
      </c>
      <c r="M172" s="2" t="s">
        <v>30</v>
      </c>
      <c r="N172" s="2" t="s">
        <v>31</v>
      </c>
      <c r="O172" s="2" t="s">
        <v>21</v>
      </c>
      <c r="P172" s="6">
        <f>T_CURSOS[[#This Row],[IMPORTE PROFESOR]]+T_CURSOS[[#This Row],[IMPORTE COMERCIAL]]</f>
        <v>345.6</v>
      </c>
      <c r="Q172" s="6">
        <f>T_CURSOS[[#This Row],[IMPORTE CLIENTE]]-T_CURSOS[[#This Row],[GASTO]]</f>
        <v>734.4</v>
      </c>
      <c r="R172" s="7">
        <f>T_CURSOS[[#This Row],[BENEFICIO]]/T_CURSOS[[#This Row],[IMPORTE CLIENTE]]</f>
        <v>0.67999999999999994</v>
      </c>
    </row>
    <row r="173" spans="1:18" x14ac:dyDescent="0.2">
      <c r="A173" s="2" t="s">
        <v>225</v>
      </c>
      <c r="B173" s="3" t="s">
        <v>65</v>
      </c>
      <c r="C173" s="3">
        <v>10</v>
      </c>
      <c r="D173" s="3" t="s">
        <v>34</v>
      </c>
      <c r="E173" s="4">
        <v>600</v>
      </c>
      <c r="F173" s="3" t="s">
        <v>35</v>
      </c>
      <c r="G173" s="4">
        <v>120</v>
      </c>
      <c r="H173" s="5">
        <v>43764</v>
      </c>
      <c r="I173" s="5" t="s">
        <v>28</v>
      </c>
      <c r="J173" s="3" t="s">
        <v>36</v>
      </c>
      <c r="K173" s="4">
        <v>72</v>
      </c>
      <c r="L173" s="3" t="s">
        <v>41</v>
      </c>
      <c r="M173" s="2" t="s">
        <v>22</v>
      </c>
      <c r="N173" s="2" t="s">
        <v>23</v>
      </c>
      <c r="O173" s="2" t="s">
        <v>21</v>
      </c>
      <c r="P173" s="6">
        <f>T_CURSOS[[#This Row],[IMPORTE PROFESOR]]+T_CURSOS[[#This Row],[IMPORTE COMERCIAL]]</f>
        <v>192</v>
      </c>
      <c r="Q173" s="6">
        <f>T_CURSOS[[#This Row],[IMPORTE CLIENTE]]-T_CURSOS[[#This Row],[GASTO]]</f>
        <v>408</v>
      </c>
      <c r="R173" s="7">
        <f>T_CURSOS[[#This Row],[BENEFICIO]]/T_CURSOS[[#This Row],[IMPORTE CLIENTE]]</f>
        <v>0.68</v>
      </c>
    </row>
    <row r="174" spans="1:18" x14ac:dyDescent="0.2">
      <c r="A174" s="2" t="s">
        <v>226</v>
      </c>
      <c r="B174" s="3" t="s">
        <v>65</v>
      </c>
      <c r="C174" s="3">
        <v>45</v>
      </c>
      <c r="D174" s="3" t="s">
        <v>38</v>
      </c>
      <c r="E174" s="4">
        <v>2700</v>
      </c>
      <c r="F174" s="3" t="s">
        <v>18</v>
      </c>
      <c r="G174" s="4">
        <v>540</v>
      </c>
      <c r="H174" s="5">
        <v>43613</v>
      </c>
      <c r="I174" s="5" t="s">
        <v>28</v>
      </c>
      <c r="J174" s="3" t="s">
        <v>40</v>
      </c>
      <c r="K174" s="4">
        <v>324</v>
      </c>
      <c r="L174" s="3" t="s">
        <v>21</v>
      </c>
      <c r="M174" s="2" t="s">
        <v>30</v>
      </c>
      <c r="N174" s="2" t="s">
        <v>31</v>
      </c>
      <c r="O174" s="2" t="s">
        <v>41</v>
      </c>
      <c r="P174" s="6">
        <f>T_CURSOS[[#This Row],[IMPORTE PROFESOR]]+T_CURSOS[[#This Row],[IMPORTE COMERCIAL]]</f>
        <v>864</v>
      </c>
      <c r="Q174" s="6">
        <f>T_CURSOS[[#This Row],[IMPORTE CLIENTE]]-T_CURSOS[[#This Row],[GASTO]]</f>
        <v>1836</v>
      </c>
      <c r="R174" s="7">
        <f>T_CURSOS[[#This Row],[BENEFICIO]]/T_CURSOS[[#This Row],[IMPORTE CLIENTE]]</f>
        <v>0.68</v>
      </c>
    </row>
    <row r="175" spans="1:18" x14ac:dyDescent="0.2">
      <c r="A175" s="2" t="s">
        <v>227</v>
      </c>
      <c r="B175" s="3" t="s">
        <v>33</v>
      </c>
      <c r="C175" s="3">
        <v>25</v>
      </c>
      <c r="D175" s="3" t="s">
        <v>51</v>
      </c>
      <c r="E175" s="4">
        <v>1000</v>
      </c>
      <c r="F175" s="3" t="s">
        <v>27</v>
      </c>
      <c r="G175" s="4">
        <v>300</v>
      </c>
      <c r="H175" s="5">
        <v>43655</v>
      </c>
      <c r="I175" s="5" t="s">
        <v>28</v>
      </c>
      <c r="J175" s="3" t="s">
        <v>20</v>
      </c>
      <c r="K175" s="4">
        <v>100</v>
      </c>
      <c r="L175" s="3" t="s">
        <v>21</v>
      </c>
      <c r="M175" s="2" t="s">
        <v>45</v>
      </c>
      <c r="N175" s="2" t="s">
        <v>82</v>
      </c>
      <c r="O175" s="2" t="s">
        <v>41</v>
      </c>
      <c r="P175" s="6">
        <f>T_CURSOS[[#This Row],[IMPORTE PROFESOR]]+T_CURSOS[[#This Row],[IMPORTE COMERCIAL]]</f>
        <v>400</v>
      </c>
      <c r="Q175" s="6">
        <f>T_CURSOS[[#This Row],[IMPORTE CLIENTE]]-T_CURSOS[[#This Row],[GASTO]]</f>
        <v>600</v>
      </c>
      <c r="R175" s="7">
        <f>T_CURSOS[[#This Row],[BENEFICIO]]/T_CURSOS[[#This Row],[IMPORTE CLIENTE]]</f>
        <v>0.6</v>
      </c>
    </row>
    <row r="176" spans="1:18" x14ac:dyDescent="0.2">
      <c r="A176" s="2" t="s">
        <v>228</v>
      </c>
      <c r="B176" s="3" t="s">
        <v>33</v>
      </c>
      <c r="C176" s="3">
        <v>20</v>
      </c>
      <c r="D176" s="3" t="s">
        <v>34</v>
      </c>
      <c r="E176" s="4">
        <v>800</v>
      </c>
      <c r="F176" s="3" t="s">
        <v>35</v>
      </c>
      <c r="G176" s="4">
        <v>240</v>
      </c>
      <c r="H176" s="5">
        <v>43956</v>
      </c>
      <c r="I176" s="5" t="s">
        <v>28</v>
      </c>
      <c r="J176" s="3" t="s">
        <v>29</v>
      </c>
      <c r="K176" s="4">
        <v>80</v>
      </c>
      <c r="L176" s="3" t="s">
        <v>21</v>
      </c>
      <c r="M176" s="2" t="s">
        <v>22</v>
      </c>
      <c r="N176" s="2" t="s">
        <v>23</v>
      </c>
      <c r="O176" s="2" t="s">
        <v>21</v>
      </c>
      <c r="P176" s="6">
        <f>T_CURSOS[[#This Row],[IMPORTE PROFESOR]]+T_CURSOS[[#This Row],[IMPORTE COMERCIAL]]</f>
        <v>320</v>
      </c>
      <c r="Q176" s="6">
        <f>T_CURSOS[[#This Row],[IMPORTE CLIENTE]]-T_CURSOS[[#This Row],[GASTO]]</f>
        <v>480</v>
      </c>
      <c r="R176" s="7">
        <f>T_CURSOS[[#This Row],[BENEFICIO]]/T_CURSOS[[#This Row],[IMPORTE CLIENTE]]</f>
        <v>0.6</v>
      </c>
    </row>
    <row r="177" spans="1:18" x14ac:dyDescent="0.2">
      <c r="A177" s="2" t="s">
        <v>229</v>
      </c>
      <c r="B177" s="3" t="s">
        <v>33</v>
      </c>
      <c r="C177" s="3">
        <v>10</v>
      </c>
      <c r="D177" s="3" t="s">
        <v>56</v>
      </c>
      <c r="E177" s="4">
        <v>400</v>
      </c>
      <c r="F177" s="3" t="s">
        <v>39</v>
      </c>
      <c r="G177" s="4">
        <v>120</v>
      </c>
      <c r="H177" s="5">
        <v>43574</v>
      </c>
      <c r="I177" s="5" t="s">
        <v>57</v>
      </c>
      <c r="J177" s="3" t="s">
        <v>36</v>
      </c>
      <c r="K177" s="4">
        <v>40</v>
      </c>
      <c r="L177" s="3" t="s">
        <v>21</v>
      </c>
      <c r="M177" s="2" t="s">
        <v>22</v>
      </c>
      <c r="N177" s="2" t="s">
        <v>23</v>
      </c>
      <c r="O177" s="2" t="s">
        <v>21</v>
      </c>
      <c r="P177" s="6">
        <f>T_CURSOS[[#This Row],[IMPORTE PROFESOR]]+T_CURSOS[[#This Row],[IMPORTE COMERCIAL]]</f>
        <v>160</v>
      </c>
      <c r="Q177" s="6">
        <f>T_CURSOS[[#This Row],[IMPORTE CLIENTE]]-T_CURSOS[[#This Row],[GASTO]]</f>
        <v>240</v>
      </c>
      <c r="R177" s="7">
        <f>T_CURSOS[[#This Row],[BENEFICIO]]/T_CURSOS[[#This Row],[IMPORTE CLIENTE]]</f>
        <v>0.6</v>
      </c>
    </row>
    <row r="178" spans="1:18" x14ac:dyDescent="0.2">
      <c r="A178" s="2" t="s">
        <v>230</v>
      </c>
      <c r="B178" s="3" t="s">
        <v>33</v>
      </c>
      <c r="C178" s="3">
        <v>12</v>
      </c>
      <c r="D178" s="3" t="s">
        <v>43</v>
      </c>
      <c r="E178" s="4">
        <v>480</v>
      </c>
      <c r="F178" s="3" t="s">
        <v>44</v>
      </c>
      <c r="G178" s="4">
        <v>144</v>
      </c>
      <c r="H178" s="5">
        <v>43905</v>
      </c>
      <c r="I178" s="5" t="s">
        <v>57</v>
      </c>
      <c r="J178" s="3" t="s">
        <v>20</v>
      </c>
      <c r="K178" s="4">
        <v>48</v>
      </c>
      <c r="L178" s="3" t="s">
        <v>21</v>
      </c>
      <c r="M178" s="2" t="s">
        <v>45</v>
      </c>
      <c r="N178" s="2" t="s">
        <v>82</v>
      </c>
      <c r="O178" s="2" t="s">
        <v>41</v>
      </c>
      <c r="P178" s="6">
        <f>T_CURSOS[[#This Row],[IMPORTE PROFESOR]]+T_CURSOS[[#This Row],[IMPORTE COMERCIAL]]</f>
        <v>192</v>
      </c>
      <c r="Q178" s="6">
        <f>T_CURSOS[[#This Row],[IMPORTE CLIENTE]]-T_CURSOS[[#This Row],[GASTO]]</f>
        <v>288</v>
      </c>
      <c r="R178" s="7">
        <f>T_CURSOS[[#This Row],[BENEFICIO]]/T_CURSOS[[#This Row],[IMPORTE CLIENTE]]</f>
        <v>0.6</v>
      </c>
    </row>
    <row r="179" spans="1:18" x14ac:dyDescent="0.2">
      <c r="A179" s="2" t="s">
        <v>231</v>
      </c>
      <c r="B179" s="3" t="s">
        <v>25</v>
      </c>
      <c r="C179" s="3">
        <v>15</v>
      </c>
      <c r="D179" s="3" t="s">
        <v>51</v>
      </c>
      <c r="E179" s="4">
        <v>450</v>
      </c>
      <c r="F179" s="3" t="s">
        <v>27</v>
      </c>
      <c r="G179" s="4">
        <v>180</v>
      </c>
      <c r="H179" s="5">
        <v>43567</v>
      </c>
      <c r="I179" s="5" t="s">
        <v>57</v>
      </c>
      <c r="J179" s="3" t="s">
        <v>29</v>
      </c>
      <c r="K179" s="4">
        <v>36</v>
      </c>
      <c r="L179" s="3" t="s">
        <v>21</v>
      </c>
      <c r="M179" s="2" t="s">
        <v>45</v>
      </c>
      <c r="N179" s="2" t="s">
        <v>82</v>
      </c>
      <c r="O179" s="2" t="s">
        <v>21</v>
      </c>
      <c r="P179" s="6">
        <f>T_CURSOS[[#This Row],[IMPORTE PROFESOR]]+T_CURSOS[[#This Row],[IMPORTE COMERCIAL]]</f>
        <v>216</v>
      </c>
      <c r="Q179" s="6">
        <f>T_CURSOS[[#This Row],[IMPORTE CLIENTE]]-T_CURSOS[[#This Row],[GASTO]]</f>
        <v>234</v>
      </c>
      <c r="R179" s="7">
        <f>T_CURSOS[[#This Row],[BENEFICIO]]/T_CURSOS[[#This Row],[IMPORTE CLIENTE]]</f>
        <v>0.52</v>
      </c>
    </row>
    <row r="180" spans="1:18" x14ac:dyDescent="0.2">
      <c r="A180" s="2" t="s">
        <v>232</v>
      </c>
      <c r="B180" s="3" t="s">
        <v>25</v>
      </c>
      <c r="C180" s="3">
        <v>20</v>
      </c>
      <c r="D180" s="3" t="s">
        <v>61</v>
      </c>
      <c r="E180" s="4">
        <v>600</v>
      </c>
      <c r="F180" s="3" t="s">
        <v>35</v>
      </c>
      <c r="G180" s="4">
        <v>240</v>
      </c>
      <c r="H180" s="5">
        <v>43782</v>
      </c>
      <c r="I180" s="5" t="s">
        <v>28</v>
      </c>
      <c r="J180" s="3" t="s">
        <v>36</v>
      </c>
      <c r="K180" s="4">
        <v>48</v>
      </c>
      <c r="L180" s="3" t="s">
        <v>21</v>
      </c>
      <c r="M180" s="2" t="s">
        <v>22</v>
      </c>
      <c r="N180" s="2" t="s">
        <v>23</v>
      </c>
      <c r="O180" s="2" t="s">
        <v>21</v>
      </c>
      <c r="P180" s="6">
        <f>T_CURSOS[[#This Row],[IMPORTE PROFESOR]]+T_CURSOS[[#This Row],[IMPORTE COMERCIAL]]</f>
        <v>288</v>
      </c>
      <c r="Q180" s="6">
        <f>T_CURSOS[[#This Row],[IMPORTE CLIENTE]]-T_CURSOS[[#This Row],[GASTO]]</f>
        <v>312</v>
      </c>
      <c r="R180" s="7">
        <f>T_CURSOS[[#This Row],[BENEFICIO]]/T_CURSOS[[#This Row],[IMPORTE CLIENTE]]</f>
        <v>0.52</v>
      </c>
    </row>
    <row r="181" spans="1:18" x14ac:dyDescent="0.2">
      <c r="A181" s="2" t="s">
        <v>233</v>
      </c>
      <c r="B181" s="3" t="s">
        <v>25</v>
      </c>
      <c r="C181" s="3">
        <v>25</v>
      </c>
      <c r="D181" s="3" t="s">
        <v>38</v>
      </c>
      <c r="E181" s="4">
        <v>750</v>
      </c>
      <c r="F181" s="3" t="s">
        <v>39</v>
      </c>
      <c r="G181" s="4">
        <v>300</v>
      </c>
      <c r="H181" s="5">
        <v>43803</v>
      </c>
      <c r="I181" s="5" t="s">
        <v>28</v>
      </c>
      <c r="J181" s="3" t="s">
        <v>40</v>
      </c>
      <c r="K181" s="4">
        <v>60</v>
      </c>
      <c r="L181" s="3" t="s">
        <v>21</v>
      </c>
      <c r="M181" s="2" t="s">
        <v>30</v>
      </c>
      <c r="N181" s="2" t="s">
        <v>104</v>
      </c>
      <c r="O181" s="2" t="s">
        <v>41</v>
      </c>
      <c r="P181" s="6">
        <f>T_CURSOS[[#This Row],[IMPORTE PROFESOR]]+T_CURSOS[[#This Row],[IMPORTE COMERCIAL]]</f>
        <v>360</v>
      </c>
      <c r="Q181" s="6">
        <f>T_CURSOS[[#This Row],[IMPORTE CLIENTE]]-T_CURSOS[[#This Row],[GASTO]]</f>
        <v>390</v>
      </c>
      <c r="R181" s="7">
        <f>T_CURSOS[[#This Row],[BENEFICIO]]/T_CURSOS[[#This Row],[IMPORTE CLIENTE]]</f>
        <v>0.52</v>
      </c>
    </row>
    <row r="182" spans="1:18" x14ac:dyDescent="0.2">
      <c r="A182" s="2" t="s">
        <v>234</v>
      </c>
      <c r="B182" s="3" t="s">
        <v>16</v>
      </c>
      <c r="C182" s="3">
        <v>30</v>
      </c>
      <c r="D182" s="3" t="s">
        <v>43</v>
      </c>
      <c r="E182" s="4">
        <v>750</v>
      </c>
      <c r="F182" s="3" t="s">
        <v>18</v>
      </c>
      <c r="G182" s="4">
        <v>360</v>
      </c>
      <c r="H182" s="5">
        <v>43555</v>
      </c>
      <c r="I182" s="5" t="s">
        <v>28</v>
      </c>
      <c r="J182" s="3" t="s">
        <v>20</v>
      </c>
      <c r="K182" s="4">
        <v>52.5</v>
      </c>
      <c r="L182" s="3" t="s">
        <v>21</v>
      </c>
      <c r="M182" s="2" t="s">
        <v>45</v>
      </c>
      <c r="N182" s="2" t="s">
        <v>82</v>
      </c>
      <c r="O182" s="2" t="s">
        <v>41</v>
      </c>
      <c r="P182" s="6">
        <f>T_CURSOS[[#This Row],[IMPORTE PROFESOR]]+T_CURSOS[[#This Row],[IMPORTE COMERCIAL]]</f>
        <v>412.5</v>
      </c>
      <c r="Q182" s="6">
        <f>T_CURSOS[[#This Row],[IMPORTE CLIENTE]]-T_CURSOS[[#This Row],[GASTO]]</f>
        <v>337.5</v>
      </c>
      <c r="R182" s="7">
        <f>T_CURSOS[[#This Row],[BENEFICIO]]/T_CURSOS[[#This Row],[IMPORTE CLIENTE]]</f>
        <v>0.45</v>
      </c>
    </row>
    <row r="183" spans="1:18" x14ac:dyDescent="0.2">
      <c r="A183" s="2" t="s">
        <v>235</v>
      </c>
      <c r="B183" s="3" t="s">
        <v>16</v>
      </c>
      <c r="C183" s="3">
        <v>40</v>
      </c>
      <c r="D183" s="3" t="s">
        <v>51</v>
      </c>
      <c r="E183" s="4">
        <v>1000</v>
      </c>
      <c r="F183" s="3" t="s">
        <v>27</v>
      </c>
      <c r="G183" s="4">
        <v>480</v>
      </c>
      <c r="H183" s="5">
        <v>44509</v>
      </c>
      <c r="I183" s="5" t="s">
        <v>28</v>
      </c>
      <c r="J183" s="3" t="s">
        <v>29</v>
      </c>
      <c r="K183" s="4">
        <v>70</v>
      </c>
      <c r="L183" s="3" t="s">
        <v>21</v>
      </c>
      <c r="M183" s="2" t="s">
        <v>45</v>
      </c>
      <c r="N183" s="2" t="s">
        <v>82</v>
      </c>
      <c r="O183" s="2" t="s">
        <v>21</v>
      </c>
      <c r="P183" s="6">
        <f>T_CURSOS[[#This Row],[IMPORTE PROFESOR]]+T_CURSOS[[#This Row],[IMPORTE COMERCIAL]]</f>
        <v>550</v>
      </c>
      <c r="Q183" s="6">
        <f>T_CURSOS[[#This Row],[IMPORTE CLIENTE]]-T_CURSOS[[#This Row],[GASTO]]</f>
        <v>450</v>
      </c>
      <c r="R183" s="7">
        <f>T_CURSOS[[#This Row],[BENEFICIO]]/T_CURSOS[[#This Row],[IMPORTE CLIENTE]]</f>
        <v>0.45</v>
      </c>
    </row>
    <row r="184" spans="1:18" x14ac:dyDescent="0.2">
      <c r="A184" s="2" t="s">
        <v>236</v>
      </c>
      <c r="B184" s="3" t="s">
        <v>25</v>
      </c>
      <c r="C184" s="3">
        <v>35</v>
      </c>
      <c r="D184" s="3" t="s">
        <v>34</v>
      </c>
      <c r="E184" s="4">
        <v>1050</v>
      </c>
      <c r="F184" s="3" t="s">
        <v>35</v>
      </c>
      <c r="G184" s="4">
        <v>420</v>
      </c>
      <c r="H184" s="5">
        <v>43782</v>
      </c>
      <c r="I184" s="5" t="s">
        <v>57</v>
      </c>
      <c r="J184" s="3" t="s">
        <v>36</v>
      </c>
      <c r="K184" s="4">
        <v>84</v>
      </c>
      <c r="L184" s="3" t="s">
        <v>21</v>
      </c>
      <c r="M184" s="2" t="s">
        <v>22</v>
      </c>
      <c r="N184" s="2" t="s">
        <v>23</v>
      </c>
      <c r="O184" s="2" t="s">
        <v>21</v>
      </c>
      <c r="P184" s="6">
        <f>T_CURSOS[[#This Row],[IMPORTE PROFESOR]]+T_CURSOS[[#This Row],[IMPORTE COMERCIAL]]</f>
        <v>504</v>
      </c>
      <c r="Q184" s="6">
        <f>T_CURSOS[[#This Row],[IMPORTE CLIENTE]]-T_CURSOS[[#This Row],[GASTO]]</f>
        <v>546</v>
      </c>
      <c r="R184" s="7">
        <f>T_CURSOS[[#This Row],[BENEFICIO]]/T_CURSOS[[#This Row],[IMPORTE CLIENTE]]</f>
        <v>0.52</v>
      </c>
    </row>
    <row r="185" spans="1:18" x14ac:dyDescent="0.2">
      <c r="A185" s="2" t="s">
        <v>237</v>
      </c>
      <c r="B185" s="3" t="s">
        <v>33</v>
      </c>
      <c r="C185" s="3">
        <v>45</v>
      </c>
      <c r="D185" s="3" t="s">
        <v>56</v>
      </c>
      <c r="E185" s="4">
        <v>1800</v>
      </c>
      <c r="F185" s="3" t="s">
        <v>39</v>
      </c>
      <c r="G185" s="4">
        <v>540</v>
      </c>
      <c r="H185" s="5">
        <v>44099</v>
      </c>
      <c r="I185" s="5" t="s">
        <v>57</v>
      </c>
      <c r="J185" s="3" t="s">
        <v>40</v>
      </c>
      <c r="K185" s="4">
        <v>180</v>
      </c>
      <c r="L185" s="3" t="s">
        <v>21</v>
      </c>
      <c r="M185" s="2" t="s">
        <v>22</v>
      </c>
      <c r="N185" s="2" t="s">
        <v>73</v>
      </c>
      <c r="O185" s="2" t="s">
        <v>41</v>
      </c>
      <c r="P185" s="6">
        <f>T_CURSOS[[#This Row],[IMPORTE PROFESOR]]+T_CURSOS[[#This Row],[IMPORTE COMERCIAL]]</f>
        <v>720</v>
      </c>
      <c r="Q185" s="6">
        <f>T_CURSOS[[#This Row],[IMPORTE CLIENTE]]-T_CURSOS[[#This Row],[GASTO]]</f>
        <v>1080</v>
      </c>
      <c r="R185" s="7">
        <f>T_CURSOS[[#This Row],[BENEFICIO]]/T_CURSOS[[#This Row],[IMPORTE CLIENTE]]</f>
        <v>0.6</v>
      </c>
    </row>
    <row r="186" spans="1:18" x14ac:dyDescent="0.2">
      <c r="A186" s="2" t="s">
        <v>238</v>
      </c>
      <c r="B186" s="3" t="s">
        <v>16</v>
      </c>
      <c r="C186" s="3">
        <v>18</v>
      </c>
      <c r="D186" s="3" t="s">
        <v>56</v>
      </c>
      <c r="E186" s="4">
        <v>450</v>
      </c>
      <c r="F186" s="3" t="s">
        <v>44</v>
      </c>
      <c r="G186" s="4">
        <v>216</v>
      </c>
      <c r="H186" s="5">
        <v>44280</v>
      </c>
      <c r="I186" s="5" t="s">
        <v>57</v>
      </c>
      <c r="J186" s="3" t="s">
        <v>29</v>
      </c>
      <c r="K186" s="4">
        <v>31.5</v>
      </c>
      <c r="L186" s="3" t="s">
        <v>21</v>
      </c>
      <c r="M186" s="2" t="s">
        <v>22</v>
      </c>
      <c r="N186" s="2" t="s">
        <v>73</v>
      </c>
      <c r="O186" s="2" t="s">
        <v>21</v>
      </c>
      <c r="P186" s="6">
        <f>T_CURSOS[[#This Row],[IMPORTE PROFESOR]]+T_CURSOS[[#This Row],[IMPORTE COMERCIAL]]</f>
        <v>247.5</v>
      </c>
      <c r="Q186" s="6">
        <f>T_CURSOS[[#This Row],[IMPORTE CLIENTE]]-T_CURSOS[[#This Row],[GASTO]]</f>
        <v>202.5</v>
      </c>
      <c r="R186" s="7">
        <f>T_CURSOS[[#This Row],[BENEFICIO]]/T_CURSOS[[#This Row],[IMPORTE CLIENTE]]</f>
        <v>0.45</v>
      </c>
    </row>
    <row r="187" spans="1:18" x14ac:dyDescent="0.2">
      <c r="A187" s="2" t="s">
        <v>239</v>
      </c>
      <c r="B187" s="3" t="s">
        <v>16</v>
      </c>
      <c r="C187" s="3">
        <v>10</v>
      </c>
      <c r="D187" s="3" t="s">
        <v>51</v>
      </c>
      <c r="E187" s="4">
        <v>250</v>
      </c>
      <c r="F187" s="3" t="s">
        <v>27</v>
      </c>
      <c r="G187" s="4">
        <v>120</v>
      </c>
      <c r="H187" s="5">
        <v>43477</v>
      </c>
      <c r="I187" s="5" t="s">
        <v>57</v>
      </c>
      <c r="J187" s="3" t="s">
        <v>36</v>
      </c>
      <c r="K187" s="4">
        <v>17.5</v>
      </c>
      <c r="L187" s="3" t="s">
        <v>41</v>
      </c>
      <c r="M187" s="2" t="s">
        <v>45</v>
      </c>
      <c r="N187" s="2" t="s">
        <v>82</v>
      </c>
      <c r="O187" s="2" t="s">
        <v>21</v>
      </c>
      <c r="P187" s="6">
        <f>T_CURSOS[[#This Row],[IMPORTE PROFESOR]]+T_CURSOS[[#This Row],[IMPORTE COMERCIAL]]</f>
        <v>137.5</v>
      </c>
      <c r="Q187" s="6">
        <f>T_CURSOS[[#This Row],[IMPORTE CLIENTE]]-T_CURSOS[[#This Row],[GASTO]]</f>
        <v>112.5</v>
      </c>
      <c r="R187" s="7">
        <f>T_CURSOS[[#This Row],[BENEFICIO]]/T_CURSOS[[#This Row],[IMPORTE CLIENTE]]</f>
        <v>0.45</v>
      </c>
    </row>
    <row r="188" spans="1:18" x14ac:dyDescent="0.2">
      <c r="A188" s="2" t="s">
        <v>240</v>
      </c>
      <c r="B188" s="3" t="s">
        <v>16</v>
      </c>
      <c r="C188" s="3">
        <v>12</v>
      </c>
      <c r="D188" s="3" t="s">
        <v>43</v>
      </c>
      <c r="E188" s="4">
        <v>300</v>
      </c>
      <c r="F188" s="3" t="s">
        <v>35</v>
      </c>
      <c r="G188" s="4">
        <v>144</v>
      </c>
      <c r="H188" s="5">
        <v>44460</v>
      </c>
      <c r="I188" s="5" t="s">
        <v>57</v>
      </c>
      <c r="J188" s="3" t="s">
        <v>40</v>
      </c>
      <c r="K188" s="4">
        <v>21</v>
      </c>
      <c r="L188" s="3" t="s">
        <v>41</v>
      </c>
      <c r="M188" s="2" t="s">
        <v>45</v>
      </c>
      <c r="N188" s="2" t="s">
        <v>82</v>
      </c>
      <c r="O188" s="2" t="s">
        <v>21</v>
      </c>
      <c r="P188" s="6">
        <f>T_CURSOS[[#This Row],[IMPORTE PROFESOR]]+T_CURSOS[[#This Row],[IMPORTE COMERCIAL]]</f>
        <v>165</v>
      </c>
      <c r="Q188" s="6">
        <f>T_CURSOS[[#This Row],[IMPORTE CLIENTE]]-T_CURSOS[[#This Row],[GASTO]]</f>
        <v>135</v>
      </c>
      <c r="R188" s="7">
        <f>T_CURSOS[[#This Row],[BENEFICIO]]/T_CURSOS[[#This Row],[IMPORTE CLIENTE]]</f>
        <v>0.45</v>
      </c>
    </row>
    <row r="189" spans="1:18" x14ac:dyDescent="0.2">
      <c r="A189" s="2" t="s">
        <v>241</v>
      </c>
      <c r="B189" s="3" t="s">
        <v>25</v>
      </c>
      <c r="C189" s="3">
        <v>15</v>
      </c>
      <c r="D189" s="3" t="s">
        <v>61</v>
      </c>
      <c r="E189" s="4">
        <v>450</v>
      </c>
      <c r="F189" s="3" t="s">
        <v>39</v>
      </c>
      <c r="G189" s="4">
        <v>180</v>
      </c>
      <c r="H189" s="5">
        <v>43473</v>
      </c>
      <c r="I189" s="5" t="s">
        <v>28</v>
      </c>
      <c r="J189" s="3" t="s">
        <v>20</v>
      </c>
      <c r="K189" s="4">
        <v>36</v>
      </c>
      <c r="L189" s="3" t="s">
        <v>21</v>
      </c>
      <c r="M189" s="2" t="s">
        <v>22</v>
      </c>
      <c r="N189" s="2" t="s">
        <v>73</v>
      </c>
      <c r="O189" s="2" t="s">
        <v>21</v>
      </c>
      <c r="P189" s="6">
        <f>T_CURSOS[[#This Row],[IMPORTE PROFESOR]]+T_CURSOS[[#This Row],[IMPORTE COMERCIAL]]</f>
        <v>216</v>
      </c>
      <c r="Q189" s="6">
        <f>T_CURSOS[[#This Row],[IMPORTE CLIENTE]]-T_CURSOS[[#This Row],[GASTO]]</f>
        <v>234</v>
      </c>
      <c r="R189" s="7">
        <f>T_CURSOS[[#This Row],[BENEFICIO]]/T_CURSOS[[#This Row],[IMPORTE CLIENTE]]</f>
        <v>0.52</v>
      </c>
    </row>
    <row r="190" spans="1:18" x14ac:dyDescent="0.2">
      <c r="A190" s="2" t="s">
        <v>242</v>
      </c>
      <c r="B190" s="3" t="s">
        <v>25</v>
      </c>
      <c r="C190" s="3">
        <v>25</v>
      </c>
      <c r="D190" s="3" t="s">
        <v>61</v>
      </c>
      <c r="E190" s="4">
        <v>750</v>
      </c>
      <c r="F190" s="3" t="s">
        <v>44</v>
      </c>
      <c r="G190" s="4">
        <v>300</v>
      </c>
      <c r="H190" s="5">
        <v>44293</v>
      </c>
      <c r="I190" s="5" t="s">
        <v>57</v>
      </c>
      <c r="J190" s="3" t="s">
        <v>29</v>
      </c>
      <c r="K190" s="4">
        <v>60</v>
      </c>
      <c r="L190" s="3" t="s">
        <v>21</v>
      </c>
      <c r="M190" s="2" t="s">
        <v>22</v>
      </c>
      <c r="N190" s="2" t="s">
        <v>23</v>
      </c>
      <c r="O190" s="2" t="s">
        <v>21</v>
      </c>
      <c r="P190" s="6">
        <f>T_CURSOS[[#This Row],[IMPORTE PROFESOR]]+T_CURSOS[[#This Row],[IMPORTE COMERCIAL]]</f>
        <v>360</v>
      </c>
      <c r="Q190" s="6">
        <f>T_CURSOS[[#This Row],[IMPORTE CLIENTE]]-T_CURSOS[[#This Row],[GASTO]]</f>
        <v>390</v>
      </c>
      <c r="R190" s="7">
        <f>T_CURSOS[[#This Row],[BENEFICIO]]/T_CURSOS[[#This Row],[IMPORTE CLIENTE]]</f>
        <v>0.52</v>
      </c>
    </row>
    <row r="191" spans="1:18" x14ac:dyDescent="0.2">
      <c r="A191" s="2" t="s">
        <v>243</v>
      </c>
      <c r="B191" s="3" t="s">
        <v>25</v>
      </c>
      <c r="C191" s="3">
        <v>15</v>
      </c>
      <c r="D191" s="3" t="s">
        <v>56</v>
      </c>
      <c r="E191" s="4">
        <v>450</v>
      </c>
      <c r="F191" s="3" t="s">
        <v>27</v>
      </c>
      <c r="G191" s="4">
        <v>180</v>
      </c>
      <c r="H191" s="5">
        <v>43537</v>
      </c>
      <c r="I191" s="5" t="s">
        <v>57</v>
      </c>
      <c r="J191" s="3" t="s">
        <v>36</v>
      </c>
      <c r="K191" s="4">
        <v>36</v>
      </c>
      <c r="L191" s="3" t="s">
        <v>21</v>
      </c>
      <c r="M191" s="2" t="s">
        <v>22</v>
      </c>
      <c r="N191" s="2" t="s">
        <v>23</v>
      </c>
      <c r="O191" s="2" t="s">
        <v>21</v>
      </c>
      <c r="P191" s="6">
        <f>T_CURSOS[[#This Row],[IMPORTE PROFESOR]]+T_CURSOS[[#This Row],[IMPORTE COMERCIAL]]</f>
        <v>216</v>
      </c>
      <c r="Q191" s="6">
        <f>T_CURSOS[[#This Row],[IMPORTE CLIENTE]]-T_CURSOS[[#This Row],[GASTO]]</f>
        <v>234</v>
      </c>
      <c r="R191" s="7">
        <f>T_CURSOS[[#This Row],[BENEFICIO]]/T_CURSOS[[#This Row],[IMPORTE CLIENTE]]</f>
        <v>0.52</v>
      </c>
    </row>
    <row r="192" spans="1:18" x14ac:dyDescent="0.2">
      <c r="A192" s="2" t="s">
        <v>244</v>
      </c>
      <c r="B192" s="3" t="s">
        <v>53</v>
      </c>
      <c r="C192" s="3">
        <v>10</v>
      </c>
      <c r="D192" s="3" t="s">
        <v>43</v>
      </c>
      <c r="E192" s="4">
        <v>250</v>
      </c>
      <c r="F192" s="3" t="s">
        <v>35</v>
      </c>
      <c r="G192" s="4">
        <v>120</v>
      </c>
      <c r="H192" s="5">
        <v>43579</v>
      </c>
      <c r="I192" s="5" t="s">
        <v>57</v>
      </c>
      <c r="J192" s="3" t="s">
        <v>20</v>
      </c>
      <c r="K192" s="4">
        <v>12.5</v>
      </c>
      <c r="L192" s="3" t="s">
        <v>21</v>
      </c>
      <c r="M192" s="2" t="s">
        <v>45</v>
      </c>
      <c r="N192" s="2" t="s">
        <v>82</v>
      </c>
      <c r="O192" s="2" t="s">
        <v>21</v>
      </c>
      <c r="P192" s="6">
        <f>T_CURSOS[[#This Row],[IMPORTE PROFESOR]]+T_CURSOS[[#This Row],[IMPORTE COMERCIAL]]</f>
        <v>132.5</v>
      </c>
      <c r="Q192" s="6">
        <f>T_CURSOS[[#This Row],[IMPORTE CLIENTE]]-T_CURSOS[[#This Row],[GASTO]]</f>
        <v>117.5</v>
      </c>
      <c r="R192" s="7">
        <f>T_CURSOS[[#This Row],[BENEFICIO]]/T_CURSOS[[#This Row],[IMPORTE CLIENTE]]</f>
        <v>0.47</v>
      </c>
    </row>
    <row r="193" spans="1:18" x14ac:dyDescent="0.2">
      <c r="A193" s="2" t="s">
        <v>245</v>
      </c>
      <c r="B193" s="3" t="s">
        <v>55</v>
      </c>
      <c r="C193" s="3">
        <v>12</v>
      </c>
      <c r="D193" s="3" t="s">
        <v>38</v>
      </c>
      <c r="E193" s="4">
        <v>300</v>
      </c>
      <c r="F193" s="3" t="s">
        <v>39</v>
      </c>
      <c r="G193" s="4">
        <v>144</v>
      </c>
      <c r="H193" s="5">
        <v>43601</v>
      </c>
      <c r="I193" s="5" t="s">
        <v>28</v>
      </c>
      <c r="J193" s="3" t="s">
        <v>29</v>
      </c>
      <c r="K193" s="4">
        <v>15</v>
      </c>
      <c r="L193" s="3" t="s">
        <v>21</v>
      </c>
      <c r="M193" s="2" t="s">
        <v>30</v>
      </c>
      <c r="N193" s="2" t="s">
        <v>104</v>
      </c>
      <c r="O193" s="2" t="s">
        <v>21</v>
      </c>
      <c r="P193" s="6">
        <f>T_CURSOS[[#This Row],[IMPORTE PROFESOR]]+T_CURSOS[[#This Row],[IMPORTE COMERCIAL]]</f>
        <v>159</v>
      </c>
      <c r="Q193" s="6">
        <f>T_CURSOS[[#This Row],[IMPORTE CLIENTE]]-T_CURSOS[[#This Row],[GASTO]]</f>
        <v>141</v>
      </c>
      <c r="R193" s="7">
        <f>T_CURSOS[[#This Row],[BENEFICIO]]/T_CURSOS[[#This Row],[IMPORTE CLIENTE]]</f>
        <v>0.47</v>
      </c>
    </row>
    <row r="194" spans="1:18" x14ac:dyDescent="0.2">
      <c r="A194" s="2" t="s">
        <v>246</v>
      </c>
      <c r="B194" s="3" t="s">
        <v>55</v>
      </c>
      <c r="C194" s="3">
        <v>15</v>
      </c>
      <c r="D194" s="3" t="s">
        <v>43</v>
      </c>
      <c r="E194" s="4">
        <v>375</v>
      </c>
      <c r="F194" s="3" t="s">
        <v>18</v>
      </c>
      <c r="G194" s="4">
        <v>180</v>
      </c>
      <c r="H194" s="5">
        <v>44170</v>
      </c>
      <c r="I194" s="5" t="s">
        <v>28</v>
      </c>
      <c r="J194" s="3" t="s">
        <v>36</v>
      </c>
      <c r="K194" s="4">
        <v>18.75</v>
      </c>
      <c r="L194" s="3" t="s">
        <v>21</v>
      </c>
      <c r="M194" s="2" t="s">
        <v>45</v>
      </c>
      <c r="N194" s="2" t="s">
        <v>82</v>
      </c>
      <c r="O194" s="2" t="s">
        <v>21</v>
      </c>
      <c r="P194" s="6">
        <f>T_CURSOS[[#This Row],[IMPORTE PROFESOR]]+T_CURSOS[[#This Row],[IMPORTE COMERCIAL]]</f>
        <v>198.75</v>
      </c>
      <c r="Q194" s="6">
        <f>T_CURSOS[[#This Row],[IMPORTE CLIENTE]]-T_CURSOS[[#This Row],[GASTO]]</f>
        <v>176.25</v>
      </c>
      <c r="R194" s="7">
        <f>T_CURSOS[[#This Row],[BENEFICIO]]/T_CURSOS[[#This Row],[IMPORTE CLIENTE]]</f>
        <v>0.47</v>
      </c>
    </row>
    <row r="195" spans="1:18" x14ac:dyDescent="0.2">
      <c r="A195" s="2" t="s">
        <v>247</v>
      </c>
      <c r="B195" s="3" t="s">
        <v>55</v>
      </c>
      <c r="C195" s="3">
        <v>25</v>
      </c>
      <c r="D195" s="3" t="s">
        <v>34</v>
      </c>
      <c r="E195" s="4">
        <v>625</v>
      </c>
      <c r="F195" s="3" t="s">
        <v>27</v>
      </c>
      <c r="G195" s="4">
        <v>300</v>
      </c>
      <c r="H195" s="5">
        <v>43770</v>
      </c>
      <c r="I195" s="5" t="s">
        <v>28</v>
      </c>
      <c r="J195" s="3" t="s">
        <v>40</v>
      </c>
      <c r="K195" s="4">
        <v>31.25</v>
      </c>
      <c r="L195" s="3" t="s">
        <v>21</v>
      </c>
      <c r="M195" s="2" t="s">
        <v>22</v>
      </c>
      <c r="N195" s="2" t="s">
        <v>101</v>
      </c>
      <c r="O195" s="2" t="s">
        <v>21</v>
      </c>
      <c r="P195" s="6">
        <f>T_CURSOS[[#This Row],[IMPORTE PROFESOR]]+T_CURSOS[[#This Row],[IMPORTE COMERCIAL]]</f>
        <v>331.25</v>
      </c>
      <c r="Q195" s="6">
        <f>T_CURSOS[[#This Row],[IMPORTE CLIENTE]]-T_CURSOS[[#This Row],[GASTO]]</f>
        <v>293.75</v>
      </c>
      <c r="R195" s="7">
        <f>T_CURSOS[[#This Row],[BENEFICIO]]/T_CURSOS[[#This Row],[IMPORTE CLIENTE]]</f>
        <v>0.47</v>
      </c>
    </row>
    <row r="196" spans="1:18" x14ac:dyDescent="0.2">
      <c r="A196" s="2" t="s">
        <v>248</v>
      </c>
      <c r="B196" s="3" t="s">
        <v>53</v>
      </c>
      <c r="C196" s="3">
        <v>15</v>
      </c>
      <c r="D196" s="3" t="s">
        <v>38</v>
      </c>
      <c r="E196" s="4">
        <v>375</v>
      </c>
      <c r="F196" s="3" t="s">
        <v>35</v>
      </c>
      <c r="G196" s="4">
        <v>180</v>
      </c>
      <c r="H196" s="5">
        <v>44493</v>
      </c>
      <c r="I196" s="5" t="s">
        <v>28</v>
      </c>
      <c r="J196" s="3" t="s">
        <v>29</v>
      </c>
      <c r="K196" s="4">
        <v>18.75</v>
      </c>
      <c r="L196" s="3" t="s">
        <v>21</v>
      </c>
      <c r="M196" s="2" t="s">
        <v>30</v>
      </c>
      <c r="N196" s="2" t="s">
        <v>104</v>
      </c>
      <c r="O196" s="2" t="s">
        <v>21</v>
      </c>
      <c r="P196" s="6">
        <f>T_CURSOS[[#This Row],[IMPORTE PROFESOR]]+T_CURSOS[[#This Row],[IMPORTE COMERCIAL]]</f>
        <v>198.75</v>
      </c>
      <c r="Q196" s="6">
        <f>T_CURSOS[[#This Row],[IMPORTE CLIENTE]]-T_CURSOS[[#This Row],[GASTO]]</f>
        <v>176.25</v>
      </c>
      <c r="R196" s="7">
        <f>T_CURSOS[[#This Row],[BENEFICIO]]/T_CURSOS[[#This Row],[IMPORTE CLIENTE]]</f>
        <v>0.47</v>
      </c>
    </row>
    <row r="197" spans="1:18" x14ac:dyDescent="0.2">
      <c r="A197" s="2" t="s">
        <v>249</v>
      </c>
      <c r="B197" s="3" t="s">
        <v>63</v>
      </c>
      <c r="C197" s="3">
        <v>20</v>
      </c>
      <c r="D197" s="3" t="s">
        <v>43</v>
      </c>
      <c r="E197" s="4">
        <v>1500</v>
      </c>
      <c r="F197" s="3" t="s">
        <v>35</v>
      </c>
      <c r="G197" s="4">
        <v>240</v>
      </c>
      <c r="H197" s="5">
        <v>44373</v>
      </c>
      <c r="I197" s="5" t="s">
        <v>57</v>
      </c>
      <c r="J197" s="3" t="s">
        <v>36</v>
      </c>
      <c r="K197" s="4">
        <v>225</v>
      </c>
      <c r="L197" s="3" t="s">
        <v>21</v>
      </c>
      <c r="M197" s="2" t="s">
        <v>45</v>
      </c>
      <c r="N197" s="2" t="s">
        <v>82</v>
      </c>
      <c r="O197" s="2" t="s">
        <v>21</v>
      </c>
      <c r="P197" s="6">
        <f>T_CURSOS[[#This Row],[IMPORTE PROFESOR]]+T_CURSOS[[#This Row],[IMPORTE COMERCIAL]]</f>
        <v>465</v>
      </c>
      <c r="Q197" s="6">
        <f>T_CURSOS[[#This Row],[IMPORTE CLIENTE]]-T_CURSOS[[#This Row],[GASTO]]</f>
        <v>1035</v>
      </c>
      <c r="R197" s="7">
        <f>T_CURSOS[[#This Row],[BENEFICIO]]/T_CURSOS[[#This Row],[IMPORTE CLIENTE]]</f>
        <v>0.69</v>
      </c>
    </row>
    <row r="198" spans="1:18" x14ac:dyDescent="0.2">
      <c r="A198" s="2" t="s">
        <v>250</v>
      </c>
      <c r="B198" s="3" t="s">
        <v>65</v>
      </c>
      <c r="C198" s="3">
        <v>20</v>
      </c>
      <c r="D198" s="3" t="s">
        <v>38</v>
      </c>
      <c r="E198" s="4">
        <v>1200</v>
      </c>
      <c r="F198" s="3" t="s">
        <v>39</v>
      </c>
      <c r="G198" s="4">
        <v>240</v>
      </c>
      <c r="H198" s="5">
        <v>43618</v>
      </c>
      <c r="I198" s="5" t="s">
        <v>57</v>
      </c>
      <c r="J198" s="3" t="s">
        <v>40</v>
      </c>
      <c r="K198" s="4">
        <v>144</v>
      </c>
      <c r="L198" s="3" t="s">
        <v>21</v>
      </c>
      <c r="M198" s="2" t="s">
        <v>30</v>
      </c>
      <c r="N198" s="2" t="s">
        <v>104</v>
      </c>
      <c r="O198" s="2" t="s">
        <v>21</v>
      </c>
      <c r="P198" s="6">
        <f>T_CURSOS[[#This Row],[IMPORTE PROFESOR]]+T_CURSOS[[#This Row],[IMPORTE COMERCIAL]]</f>
        <v>384</v>
      </c>
      <c r="Q198" s="6">
        <f>T_CURSOS[[#This Row],[IMPORTE CLIENTE]]-T_CURSOS[[#This Row],[GASTO]]</f>
        <v>816</v>
      </c>
      <c r="R198" s="7">
        <f>T_CURSOS[[#This Row],[BENEFICIO]]/T_CURSOS[[#This Row],[IMPORTE CLIENTE]]</f>
        <v>0.68</v>
      </c>
    </row>
    <row r="199" spans="1:18" x14ac:dyDescent="0.2">
      <c r="A199" s="2" t="s">
        <v>251</v>
      </c>
      <c r="B199" s="3" t="s">
        <v>65</v>
      </c>
      <c r="C199" s="3">
        <v>30</v>
      </c>
      <c r="D199" s="3" t="s">
        <v>34</v>
      </c>
      <c r="E199" s="4">
        <v>1800</v>
      </c>
      <c r="F199" s="3" t="s">
        <v>44</v>
      </c>
      <c r="G199" s="4">
        <v>360</v>
      </c>
      <c r="H199" s="5">
        <v>44195</v>
      </c>
      <c r="I199" s="5" t="s">
        <v>57</v>
      </c>
      <c r="J199" s="3" t="s">
        <v>20</v>
      </c>
      <c r="K199" s="4">
        <v>216</v>
      </c>
      <c r="L199" s="3" t="s">
        <v>21</v>
      </c>
      <c r="M199" s="2" t="s">
        <v>22</v>
      </c>
      <c r="N199" s="2" t="s">
        <v>101</v>
      </c>
      <c r="O199" s="2" t="s">
        <v>41</v>
      </c>
      <c r="P199" s="6">
        <f>T_CURSOS[[#This Row],[IMPORTE PROFESOR]]+T_CURSOS[[#This Row],[IMPORTE COMERCIAL]]</f>
        <v>576</v>
      </c>
      <c r="Q199" s="6">
        <f>T_CURSOS[[#This Row],[IMPORTE CLIENTE]]-T_CURSOS[[#This Row],[GASTO]]</f>
        <v>1224</v>
      </c>
      <c r="R199" s="7">
        <f>T_CURSOS[[#This Row],[BENEFICIO]]/T_CURSOS[[#This Row],[IMPORTE CLIENTE]]</f>
        <v>0.68</v>
      </c>
    </row>
    <row r="200" spans="1:18" x14ac:dyDescent="0.2">
      <c r="A200" s="2" t="s">
        <v>252</v>
      </c>
      <c r="B200" s="3" t="s">
        <v>65</v>
      </c>
      <c r="C200" s="3">
        <v>35</v>
      </c>
      <c r="D200" s="3" t="s">
        <v>38</v>
      </c>
      <c r="E200" s="4">
        <v>2100</v>
      </c>
      <c r="F200" s="3" t="s">
        <v>27</v>
      </c>
      <c r="G200" s="4">
        <v>420</v>
      </c>
      <c r="H200" s="5">
        <v>44241</v>
      </c>
      <c r="I200" s="5" t="s">
        <v>57</v>
      </c>
      <c r="J200" s="3" t="s">
        <v>29</v>
      </c>
      <c r="K200" s="4">
        <v>252</v>
      </c>
      <c r="L200" s="3" t="s">
        <v>21</v>
      </c>
      <c r="M200" s="2" t="s">
        <v>30</v>
      </c>
      <c r="N200" s="2" t="s">
        <v>104</v>
      </c>
      <c r="O200" s="2" t="s">
        <v>21</v>
      </c>
      <c r="P200" s="6">
        <f>T_CURSOS[[#This Row],[IMPORTE PROFESOR]]+T_CURSOS[[#This Row],[IMPORTE COMERCIAL]]</f>
        <v>672</v>
      </c>
      <c r="Q200" s="6">
        <f>T_CURSOS[[#This Row],[IMPORTE CLIENTE]]-T_CURSOS[[#This Row],[GASTO]]</f>
        <v>1428</v>
      </c>
      <c r="R200" s="7">
        <f>T_CURSOS[[#This Row],[BENEFICIO]]/T_CURSOS[[#This Row],[IMPORTE CLIENTE]]</f>
        <v>0.68</v>
      </c>
    </row>
    <row r="201" spans="1:18" x14ac:dyDescent="0.2">
      <c r="A201" s="2" t="s">
        <v>253</v>
      </c>
      <c r="B201" s="3" t="s">
        <v>33</v>
      </c>
      <c r="C201" s="3">
        <v>40</v>
      </c>
      <c r="D201" s="3" t="s">
        <v>51</v>
      </c>
      <c r="E201" s="4">
        <v>1600</v>
      </c>
      <c r="F201" s="3" t="s">
        <v>35</v>
      </c>
      <c r="G201" s="4">
        <v>480</v>
      </c>
      <c r="H201" s="5">
        <v>43767</v>
      </c>
      <c r="I201" s="5" t="s">
        <v>57</v>
      </c>
      <c r="J201" s="3" t="s">
        <v>36</v>
      </c>
      <c r="K201" s="4">
        <v>160</v>
      </c>
      <c r="L201" s="3" t="s">
        <v>21</v>
      </c>
      <c r="M201" s="2" t="s">
        <v>45</v>
      </c>
      <c r="N201" s="2" t="s">
        <v>82</v>
      </c>
      <c r="O201" s="2" t="s">
        <v>21</v>
      </c>
      <c r="P201" s="6">
        <f>T_CURSOS[[#This Row],[IMPORTE PROFESOR]]+T_CURSOS[[#This Row],[IMPORTE COMERCIAL]]</f>
        <v>640</v>
      </c>
      <c r="Q201" s="6">
        <f>T_CURSOS[[#This Row],[IMPORTE CLIENTE]]-T_CURSOS[[#This Row],[GASTO]]</f>
        <v>960</v>
      </c>
      <c r="R201" s="7">
        <f>T_CURSOS[[#This Row],[BENEFICIO]]/T_CURSOS[[#This Row],[IMPORTE CLIENTE]]</f>
        <v>0.6</v>
      </c>
    </row>
    <row r="202" spans="1:18" x14ac:dyDescent="0.2">
      <c r="A202" s="2" t="s">
        <v>254</v>
      </c>
      <c r="B202" s="3" t="s">
        <v>33</v>
      </c>
      <c r="C202" s="3">
        <v>40</v>
      </c>
      <c r="D202" s="3" t="s">
        <v>34</v>
      </c>
      <c r="E202" s="4">
        <v>1600</v>
      </c>
      <c r="F202" s="3" t="s">
        <v>39</v>
      </c>
      <c r="G202" s="4">
        <v>480</v>
      </c>
      <c r="H202" s="5">
        <v>44407</v>
      </c>
      <c r="I202" s="5" t="s">
        <v>28</v>
      </c>
      <c r="J202" s="3" t="s">
        <v>20</v>
      </c>
      <c r="K202" s="4">
        <v>160</v>
      </c>
      <c r="L202" s="3" t="s">
        <v>21</v>
      </c>
      <c r="M202" s="2" t="s">
        <v>22</v>
      </c>
      <c r="N202" s="2" t="s">
        <v>101</v>
      </c>
      <c r="O202" s="2" t="s">
        <v>41</v>
      </c>
      <c r="P202" s="6">
        <f>T_CURSOS[[#This Row],[IMPORTE PROFESOR]]+T_CURSOS[[#This Row],[IMPORTE COMERCIAL]]</f>
        <v>640</v>
      </c>
      <c r="Q202" s="6">
        <f>T_CURSOS[[#This Row],[IMPORTE CLIENTE]]-T_CURSOS[[#This Row],[GASTO]]</f>
        <v>960</v>
      </c>
      <c r="R202" s="7">
        <f>T_CURSOS[[#This Row],[BENEFICIO]]/T_CURSOS[[#This Row],[IMPORTE CLIENTE]]</f>
        <v>0.6</v>
      </c>
    </row>
    <row r="203" spans="1:18" x14ac:dyDescent="0.2">
      <c r="A203" s="2" t="s">
        <v>255</v>
      </c>
      <c r="B203" s="3" t="s">
        <v>33</v>
      </c>
      <c r="C203" s="3">
        <v>35</v>
      </c>
      <c r="D203" s="3" t="s">
        <v>56</v>
      </c>
      <c r="E203" s="4">
        <v>1400</v>
      </c>
      <c r="F203" s="3" t="s">
        <v>18</v>
      </c>
      <c r="G203" s="4">
        <v>420</v>
      </c>
      <c r="H203" s="5">
        <v>43950</v>
      </c>
      <c r="I203" s="5" t="s">
        <v>19</v>
      </c>
      <c r="J203" s="3" t="s">
        <v>29</v>
      </c>
      <c r="K203" s="4">
        <v>140</v>
      </c>
      <c r="L203" s="3" t="s">
        <v>21</v>
      </c>
      <c r="M203" s="2" t="s">
        <v>22</v>
      </c>
      <c r="N203" s="2" t="s">
        <v>101</v>
      </c>
      <c r="O203" s="2" t="s">
        <v>21</v>
      </c>
      <c r="P203" s="6">
        <f>T_CURSOS[[#This Row],[IMPORTE PROFESOR]]+T_CURSOS[[#This Row],[IMPORTE COMERCIAL]]</f>
        <v>560</v>
      </c>
      <c r="Q203" s="6">
        <f>T_CURSOS[[#This Row],[IMPORTE CLIENTE]]-T_CURSOS[[#This Row],[GASTO]]</f>
        <v>840</v>
      </c>
      <c r="R203" s="7">
        <f>T_CURSOS[[#This Row],[BENEFICIO]]/T_CURSOS[[#This Row],[IMPORTE CLIENTE]]</f>
        <v>0.6</v>
      </c>
    </row>
    <row r="204" spans="1:18" x14ac:dyDescent="0.2">
      <c r="A204" s="2" t="s">
        <v>256</v>
      </c>
      <c r="B204" s="3" t="s">
        <v>33</v>
      </c>
      <c r="C204" s="3">
        <v>10</v>
      </c>
      <c r="D204" s="3" t="s">
        <v>43</v>
      </c>
      <c r="E204" s="4">
        <v>400</v>
      </c>
      <c r="F204" s="3" t="s">
        <v>27</v>
      </c>
      <c r="G204" s="4">
        <v>120</v>
      </c>
      <c r="H204" s="5">
        <v>44533</v>
      </c>
      <c r="I204" s="5" t="s">
        <v>28</v>
      </c>
      <c r="J204" s="3" t="s">
        <v>36</v>
      </c>
      <c r="K204" s="4">
        <v>40</v>
      </c>
      <c r="L204" s="3" t="s">
        <v>41</v>
      </c>
      <c r="M204" s="2" t="s">
        <v>45</v>
      </c>
      <c r="N204" s="2" t="s">
        <v>46</v>
      </c>
      <c r="O204" s="2" t="s">
        <v>21</v>
      </c>
      <c r="P204" s="6">
        <f>T_CURSOS[[#This Row],[IMPORTE PROFESOR]]+T_CURSOS[[#This Row],[IMPORTE COMERCIAL]]</f>
        <v>160</v>
      </c>
      <c r="Q204" s="6">
        <f>T_CURSOS[[#This Row],[IMPORTE CLIENTE]]-T_CURSOS[[#This Row],[GASTO]]</f>
        <v>240</v>
      </c>
      <c r="R204" s="7">
        <f>T_CURSOS[[#This Row],[BENEFICIO]]/T_CURSOS[[#This Row],[IMPORTE CLIENTE]]</f>
        <v>0.6</v>
      </c>
    </row>
    <row r="205" spans="1:18" x14ac:dyDescent="0.2">
      <c r="A205" s="2" t="s">
        <v>257</v>
      </c>
      <c r="B205" s="3" t="s">
        <v>25</v>
      </c>
      <c r="C205" s="3">
        <v>12</v>
      </c>
      <c r="D205" s="3" t="s">
        <v>51</v>
      </c>
      <c r="E205" s="4">
        <v>360</v>
      </c>
      <c r="F205" s="3" t="s">
        <v>35</v>
      </c>
      <c r="G205" s="4">
        <v>144</v>
      </c>
      <c r="H205" s="5">
        <v>44050</v>
      </c>
      <c r="I205" s="5" t="s">
        <v>19</v>
      </c>
      <c r="J205" s="3" t="s">
        <v>40</v>
      </c>
      <c r="K205" s="4">
        <v>28.8</v>
      </c>
      <c r="L205" s="3" t="s">
        <v>21</v>
      </c>
      <c r="M205" s="2" t="s">
        <v>45</v>
      </c>
      <c r="N205" s="2" t="s">
        <v>46</v>
      </c>
      <c r="O205" s="2" t="s">
        <v>41</v>
      </c>
      <c r="P205" s="6">
        <f>T_CURSOS[[#This Row],[IMPORTE PROFESOR]]+T_CURSOS[[#This Row],[IMPORTE COMERCIAL]]</f>
        <v>172.8</v>
      </c>
      <c r="Q205" s="6">
        <f>T_CURSOS[[#This Row],[IMPORTE CLIENTE]]-T_CURSOS[[#This Row],[GASTO]]</f>
        <v>187.2</v>
      </c>
      <c r="R205" s="7">
        <f>T_CURSOS[[#This Row],[BENEFICIO]]/T_CURSOS[[#This Row],[IMPORTE CLIENTE]]</f>
        <v>0.52</v>
      </c>
    </row>
    <row r="206" spans="1:18" x14ac:dyDescent="0.2">
      <c r="A206" s="2" t="s">
        <v>258</v>
      </c>
      <c r="B206" s="3" t="s">
        <v>25</v>
      </c>
      <c r="C206" s="3">
        <v>15</v>
      </c>
      <c r="D206" s="3" t="s">
        <v>61</v>
      </c>
      <c r="E206" s="4">
        <v>450</v>
      </c>
      <c r="F206" s="3" t="s">
        <v>39</v>
      </c>
      <c r="G206" s="4">
        <v>180</v>
      </c>
      <c r="H206" s="5">
        <v>44205</v>
      </c>
      <c r="I206" s="5" t="s">
        <v>19</v>
      </c>
      <c r="J206" s="3" t="s">
        <v>20</v>
      </c>
      <c r="K206" s="4">
        <v>36</v>
      </c>
      <c r="L206" s="3" t="s">
        <v>21</v>
      </c>
      <c r="M206" s="2" t="s">
        <v>22</v>
      </c>
      <c r="N206" s="2" t="s">
        <v>101</v>
      </c>
      <c r="O206" s="2" t="s">
        <v>41</v>
      </c>
      <c r="P206" s="6">
        <f>T_CURSOS[[#This Row],[IMPORTE PROFESOR]]+T_CURSOS[[#This Row],[IMPORTE COMERCIAL]]</f>
        <v>216</v>
      </c>
      <c r="Q206" s="6">
        <f>T_CURSOS[[#This Row],[IMPORTE CLIENTE]]-T_CURSOS[[#This Row],[GASTO]]</f>
        <v>234</v>
      </c>
      <c r="R206" s="7">
        <f>T_CURSOS[[#This Row],[BENEFICIO]]/T_CURSOS[[#This Row],[IMPORTE CLIENTE]]</f>
        <v>0.52</v>
      </c>
    </row>
    <row r="207" spans="1:18" x14ac:dyDescent="0.2">
      <c r="A207" s="2" t="s">
        <v>259</v>
      </c>
      <c r="B207" s="3" t="s">
        <v>25</v>
      </c>
      <c r="C207" s="3">
        <v>25</v>
      </c>
      <c r="D207" s="3" t="s">
        <v>38</v>
      </c>
      <c r="E207" s="4">
        <v>750</v>
      </c>
      <c r="F207" s="3" t="s">
        <v>44</v>
      </c>
      <c r="G207" s="4">
        <v>300</v>
      </c>
      <c r="H207" s="5">
        <v>43686</v>
      </c>
      <c r="I207" s="5" t="s">
        <v>19</v>
      </c>
      <c r="J207" s="3" t="s">
        <v>29</v>
      </c>
      <c r="K207" s="4">
        <v>60</v>
      </c>
      <c r="L207" s="3" t="s">
        <v>21</v>
      </c>
      <c r="M207" s="2" t="s">
        <v>30</v>
      </c>
      <c r="N207" s="2" t="s">
        <v>104</v>
      </c>
      <c r="O207" s="2" t="s">
        <v>21</v>
      </c>
      <c r="P207" s="6">
        <f>T_CURSOS[[#This Row],[IMPORTE PROFESOR]]+T_CURSOS[[#This Row],[IMPORTE COMERCIAL]]</f>
        <v>360</v>
      </c>
      <c r="Q207" s="6">
        <f>T_CURSOS[[#This Row],[IMPORTE CLIENTE]]-T_CURSOS[[#This Row],[GASTO]]</f>
        <v>390</v>
      </c>
      <c r="R207" s="7">
        <f>T_CURSOS[[#This Row],[BENEFICIO]]/T_CURSOS[[#This Row],[IMPORTE CLIENTE]]</f>
        <v>0.52</v>
      </c>
    </row>
    <row r="208" spans="1:18" x14ac:dyDescent="0.2">
      <c r="A208" s="2" t="s">
        <v>260</v>
      </c>
      <c r="B208" s="3" t="s">
        <v>16</v>
      </c>
      <c r="C208" s="3">
        <v>15</v>
      </c>
      <c r="D208" s="3" t="s">
        <v>43</v>
      </c>
      <c r="E208" s="4">
        <v>375</v>
      </c>
      <c r="F208" s="3" t="s">
        <v>27</v>
      </c>
      <c r="G208" s="4">
        <v>180</v>
      </c>
      <c r="H208" s="5">
        <v>43600</v>
      </c>
      <c r="I208" s="5" t="s">
        <v>19</v>
      </c>
      <c r="J208" s="3" t="s">
        <v>36</v>
      </c>
      <c r="K208" s="4">
        <v>26.25</v>
      </c>
      <c r="L208" s="3" t="s">
        <v>21</v>
      </c>
      <c r="M208" s="2" t="s">
        <v>45</v>
      </c>
      <c r="N208" s="2" t="s">
        <v>46</v>
      </c>
      <c r="O208" s="2" t="s">
        <v>21</v>
      </c>
      <c r="P208" s="6">
        <f>T_CURSOS[[#This Row],[IMPORTE PROFESOR]]+T_CURSOS[[#This Row],[IMPORTE COMERCIAL]]</f>
        <v>206.25</v>
      </c>
      <c r="Q208" s="6">
        <f>T_CURSOS[[#This Row],[IMPORTE CLIENTE]]-T_CURSOS[[#This Row],[GASTO]]</f>
        <v>168.75</v>
      </c>
      <c r="R208" s="7">
        <f>T_CURSOS[[#This Row],[BENEFICIO]]/T_CURSOS[[#This Row],[IMPORTE CLIENTE]]</f>
        <v>0.45</v>
      </c>
    </row>
    <row r="209" spans="1:18" x14ac:dyDescent="0.2">
      <c r="A209" s="2" t="s">
        <v>261</v>
      </c>
      <c r="B209" s="3" t="s">
        <v>16</v>
      </c>
      <c r="C209" s="3">
        <v>10</v>
      </c>
      <c r="D209" s="3" t="s">
        <v>51</v>
      </c>
      <c r="E209" s="4">
        <v>250</v>
      </c>
      <c r="F209" s="3" t="s">
        <v>35</v>
      </c>
      <c r="G209" s="4">
        <v>120</v>
      </c>
      <c r="H209" s="5">
        <v>44437</v>
      </c>
      <c r="I209" s="5" t="s">
        <v>28</v>
      </c>
      <c r="J209" s="3" t="s">
        <v>40</v>
      </c>
      <c r="K209" s="4">
        <v>17.5</v>
      </c>
      <c r="L209" s="3" t="s">
        <v>41</v>
      </c>
      <c r="M209" s="2" t="s">
        <v>45</v>
      </c>
      <c r="N209" s="2" t="s">
        <v>46</v>
      </c>
      <c r="O209" s="2" t="s">
        <v>41</v>
      </c>
      <c r="P209" s="6">
        <f>T_CURSOS[[#This Row],[IMPORTE PROFESOR]]+T_CURSOS[[#This Row],[IMPORTE COMERCIAL]]</f>
        <v>137.5</v>
      </c>
      <c r="Q209" s="6">
        <f>T_CURSOS[[#This Row],[IMPORTE CLIENTE]]-T_CURSOS[[#This Row],[GASTO]]</f>
        <v>112.5</v>
      </c>
      <c r="R209" s="7">
        <f>T_CURSOS[[#This Row],[BENEFICIO]]/T_CURSOS[[#This Row],[IMPORTE CLIENTE]]</f>
        <v>0.45</v>
      </c>
    </row>
    <row r="210" spans="1:18" x14ac:dyDescent="0.2">
      <c r="A210" s="2" t="s">
        <v>262</v>
      </c>
      <c r="B210" s="3" t="s">
        <v>16</v>
      </c>
      <c r="C210" s="3">
        <v>12</v>
      </c>
      <c r="D210" s="3" t="s">
        <v>34</v>
      </c>
      <c r="E210" s="4">
        <v>300</v>
      </c>
      <c r="F210" s="3" t="s">
        <v>39</v>
      </c>
      <c r="G210" s="4">
        <v>144</v>
      </c>
      <c r="H210" s="5">
        <v>44052</v>
      </c>
      <c r="I210" s="5" t="s">
        <v>28</v>
      </c>
      <c r="J210" s="3" t="s">
        <v>29</v>
      </c>
      <c r="K210" s="4">
        <v>21</v>
      </c>
      <c r="L210" s="3" t="s">
        <v>41</v>
      </c>
      <c r="M210" s="2" t="s">
        <v>22</v>
      </c>
      <c r="N210" s="2" t="s">
        <v>101</v>
      </c>
      <c r="O210" s="2" t="s">
        <v>21</v>
      </c>
      <c r="P210" s="6">
        <f>T_CURSOS[[#This Row],[IMPORTE PROFESOR]]+T_CURSOS[[#This Row],[IMPORTE COMERCIAL]]</f>
        <v>165</v>
      </c>
      <c r="Q210" s="6">
        <f>T_CURSOS[[#This Row],[IMPORTE CLIENTE]]-T_CURSOS[[#This Row],[GASTO]]</f>
        <v>135</v>
      </c>
      <c r="R210" s="7">
        <f>T_CURSOS[[#This Row],[BENEFICIO]]/T_CURSOS[[#This Row],[IMPORTE CLIENTE]]</f>
        <v>0.45</v>
      </c>
    </row>
    <row r="211" spans="1:18" x14ac:dyDescent="0.2">
      <c r="A211" s="2" t="s">
        <v>263</v>
      </c>
      <c r="B211" s="3" t="s">
        <v>16</v>
      </c>
      <c r="C211" s="3">
        <v>15</v>
      </c>
      <c r="D211" s="3" t="s">
        <v>56</v>
      </c>
      <c r="E211" s="4">
        <v>375</v>
      </c>
      <c r="F211" s="3" t="s">
        <v>44</v>
      </c>
      <c r="G211" s="4">
        <v>180</v>
      </c>
      <c r="H211" s="5">
        <v>44272</v>
      </c>
      <c r="I211" s="5" t="s">
        <v>28</v>
      </c>
      <c r="J211" s="3" t="s">
        <v>36</v>
      </c>
      <c r="K211" s="4">
        <v>26.25</v>
      </c>
      <c r="L211" s="3" t="s">
        <v>21</v>
      </c>
      <c r="M211" s="2" t="s">
        <v>22</v>
      </c>
      <c r="N211" s="2" t="s">
        <v>101</v>
      </c>
      <c r="O211" s="2" t="s">
        <v>21</v>
      </c>
      <c r="P211" s="6">
        <f>T_CURSOS[[#This Row],[IMPORTE PROFESOR]]+T_CURSOS[[#This Row],[IMPORTE COMERCIAL]]</f>
        <v>206.25</v>
      </c>
      <c r="Q211" s="6">
        <f>T_CURSOS[[#This Row],[IMPORTE CLIENTE]]-T_CURSOS[[#This Row],[GASTO]]</f>
        <v>168.75</v>
      </c>
      <c r="R211" s="7">
        <f>T_CURSOS[[#This Row],[BENEFICIO]]/T_CURSOS[[#This Row],[IMPORTE CLIENTE]]</f>
        <v>0.45</v>
      </c>
    </row>
    <row r="212" spans="1:18" x14ac:dyDescent="0.2">
      <c r="A212" s="2" t="s">
        <v>264</v>
      </c>
      <c r="B212" s="3" t="s">
        <v>25</v>
      </c>
      <c r="C212" s="3">
        <v>25</v>
      </c>
      <c r="D212" s="3" t="s">
        <v>56</v>
      </c>
      <c r="E212" s="4">
        <v>750</v>
      </c>
      <c r="F212" s="3" t="s">
        <v>27</v>
      </c>
      <c r="G212" s="4">
        <v>300</v>
      </c>
      <c r="H212" s="5">
        <v>44144</v>
      </c>
      <c r="I212" s="5" t="s">
        <v>28</v>
      </c>
      <c r="J212" s="3" t="s">
        <v>40</v>
      </c>
      <c r="K212" s="4">
        <v>60</v>
      </c>
      <c r="L212" s="3" t="s">
        <v>21</v>
      </c>
      <c r="M212" s="2" t="s">
        <v>22</v>
      </c>
      <c r="N212" s="2" t="s">
        <v>101</v>
      </c>
      <c r="O212" s="2" t="s">
        <v>41</v>
      </c>
      <c r="P212" s="6">
        <f>T_CURSOS[[#This Row],[IMPORTE PROFESOR]]+T_CURSOS[[#This Row],[IMPORTE COMERCIAL]]</f>
        <v>360</v>
      </c>
      <c r="Q212" s="6">
        <f>T_CURSOS[[#This Row],[IMPORTE CLIENTE]]-T_CURSOS[[#This Row],[GASTO]]</f>
        <v>390</v>
      </c>
      <c r="R212" s="7">
        <f>T_CURSOS[[#This Row],[BENEFICIO]]/T_CURSOS[[#This Row],[IMPORTE CLIENTE]]</f>
        <v>0.52</v>
      </c>
    </row>
    <row r="213" spans="1:18" x14ac:dyDescent="0.2">
      <c r="A213" s="2" t="s">
        <v>265</v>
      </c>
      <c r="B213" s="3" t="s">
        <v>33</v>
      </c>
      <c r="C213" s="3">
        <v>15</v>
      </c>
      <c r="D213" s="3" t="s">
        <v>51</v>
      </c>
      <c r="E213" s="4">
        <v>600</v>
      </c>
      <c r="F213" s="3" t="s">
        <v>35</v>
      </c>
      <c r="G213" s="4">
        <v>180</v>
      </c>
      <c r="H213" s="5">
        <v>43703</v>
      </c>
      <c r="I213" s="5" t="s">
        <v>57</v>
      </c>
      <c r="J213" s="3" t="s">
        <v>20</v>
      </c>
      <c r="K213" s="4">
        <v>60</v>
      </c>
      <c r="L213" s="3" t="s">
        <v>41</v>
      </c>
      <c r="M213" s="2" t="s">
        <v>45</v>
      </c>
      <c r="N213" s="2" t="s">
        <v>46</v>
      </c>
      <c r="O213" s="2" t="s">
        <v>41</v>
      </c>
      <c r="P213" s="6">
        <f>T_CURSOS[[#This Row],[IMPORTE PROFESOR]]+T_CURSOS[[#This Row],[IMPORTE COMERCIAL]]</f>
        <v>240</v>
      </c>
      <c r="Q213" s="6">
        <f>T_CURSOS[[#This Row],[IMPORTE CLIENTE]]-T_CURSOS[[#This Row],[GASTO]]</f>
        <v>360</v>
      </c>
      <c r="R213" s="7">
        <f>T_CURSOS[[#This Row],[BENEFICIO]]/T_CURSOS[[#This Row],[IMPORTE CLIENTE]]</f>
        <v>0.6</v>
      </c>
    </row>
    <row r="214" spans="1:18" x14ac:dyDescent="0.2">
      <c r="A214" s="2" t="s">
        <v>266</v>
      </c>
      <c r="B214" s="3" t="s">
        <v>16</v>
      </c>
      <c r="C214" s="3">
        <v>20</v>
      </c>
      <c r="D214" s="3" t="s">
        <v>43</v>
      </c>
      <c r="E214" s="4">
        <v>500</v>
      </c>
      <c r="F214" s="3" t="s">
        <v>39</v>
      </c>
      <c r="G214" s="4">
        <v>240</v>
      </c>
      <c r="H214" s="5">
        <v>43862</v>
      </c>
      <c r="I214" s="5" t="s">
        <v>57</v>
      </c>
      <c r="J214" s="3" t="s">
        <v>20</v>
      </c>
      <c r="K214" s="4">
        <v>35</v>
      </c>
      <c r="L214" s="3" t="s">
        <v>21</v>
      </c>
      <c r="M214" s="2" t="s">
        <v>45</v>
      </c>
      <c r="N214" s="2" t="s">
        <v>46</v>
      </c>
      <c r="O214" s="2" t="s">
        <v>41</v>
      </c>
      <c r="P214" s="6">
        <f>T_CURSOS[[#This Row],[IMPORTE PROFESOR]]+T_CURSOS[[#This Row],[IMPORTE COMERCIAL]]</f>
        <v>275</v>
      </c>
      <c r="Q214" s="6">
        <f>T_CURSOS[[#This Row],[IMPORTE CLIENTE]]-T_CURSOS[[#This Row],[GASTO]]</f>
        <v>225</v>
      </c>
      <c r="R214" s="7">
        <f>T_CURSOS[[#This Row],[BENEFICIO]]/T_CURSOS[[#This Row],[IMPORTE CLIENTE]]</f>
        <v>0.45</v>
      </c>
    </row>
    <row r="215" spans="1:18" x14ac:dyDescent="0.2">
      <c r="A215" s="2" t="s">
        <v>267</v>
      </c>
      <c r="B215" s="3" t="s">
        <v>16</v>
      </c>
      <c r="C215" s="3">
        <v>20</v>
      </c>
      <c r="D215" s="3" t="s">
        <v>61</v>
      </c>
      <c r="E215" s="4">
        <v>500</v>
      </c>
      <c r="F215" s="3" t="s">
        <v>44</v>
      </c>
      <c r="G215" s="4">
        <v>240</v>
      </c>
      <c r="H215" s="5">
        <v>43747</v>
      </c>
      <c r="I215" s="5" t="s">
        <v>57</v>
      </c>
      <c r="J215" s="3" t="s">
        <v>29</v>
      </c>
      <c r="K215" s="4">
        <v>35</v>
      </c>
      <c r="L215" s="3" t="s">
        <v>21</v>
      </c>
      <c r="M215" s="2" t="s">
        <v>22</v>
      </c>
      <c r="N215" s="2" t="s">
        <v>101</v>
      </c>
      <c r="O215" s="2" t="s">
        <v>21</v>
      </c>
      <c r="P215" s="6">
        <f>T_CURSOS[[#This Row],[IMPORTE PROFESOR]]+T_CURSOS[[#This Row],[IMPORTE COMERCIAL]]</f>
        <v>275</v>
      </c>
      <c r="Q215" s="6">
        <f>T_CURSOS[[#This Row],[IMPORTE CLIENTE]]-T_CURSOS[[#This Row],[GASTO]]</f>
        <v>225</v>
      </c>
      <c r="R215" s="7">
        <f>T_CURSOS[[#This Row],[BENEFICIO]]/T_CURSOS[[#This Row],[IMPORTE CLIENTE]]</f>
        <v>0.45</v>
      </c>
    </row>
    <row r="216" spans="1:18" x14ac:dyDescent="0.2">
      <c r="A216" s="2" t="s">
        <v>268</v>
      </c>
      <c r="B216" s="3" t="s">
        <v>16</v>
      </c>
      <c r="C216" s="3">
        <v>30</v>
      </c>
      <c r="D216" s="3" t="s">
        <v>17</v>
      </c>
      <c r="E216" s="4">
        <v>750</v>
      </c>
      <c r="F216" s="3" t="s">
        <v>27</v>
      </c>
      <c r="G216" s="4">
        <v>360</v>
      </c>
      <c r="H216" s="5">
        <v>43709</v>
      </c>
      <c r="I216" s="5" t="s">
        <v>28</v>
      </c>
      <c r="J216" s="3" t="s">
        <v>36</v>
      </c>
      <c r="K216" s="4">
        <v>52.5</v>
      </c>
      <c r="L216" s="3" t="s">
        <v>21</v>
      </c>
      <c r="M216" s="2" t="s">
        <v>22</v>
      </c>
      <c r="N216" s="2" t="s">
        <v>101</v>
      </c>
      <c r="O216" s="2" t="s">
        <v>21</v>
      </c>
      <c r="P216" s="6">
        <f>T_CURSOS[[#This Row],[IMPORTE PROFESOR]]+T_CURSOS[[#This Row],[IMPORTE COMERCIAL]]</f>
        <v>412.5</v>
      </c>
      <c r="Q216" s="6">
        <f>T_CURSOS[[#This Row],[IMPORTE CLIENTE]]-T_CURSOS[[#This Row],[GASTO]]</f>
        <v>337.5</v>
      </c>
      <c r="R216" s="7">
        <f>T_CURSOS[[#This Row],[BENEFICIO]]/T_CURSOS[[#This Row],[IMPORTE CLIENTE]]</f>
        <v>0.45</v>
      </c>
    </row>
    <row r="217" spans="1:18" x14ac:dyDescent="0.2">
      <c r="A217" s="2" t="s">
        <v>269</v>
      </c>
      <c r="B217" s="3" t="s">
        <v>25</v>
      </c>
      <c r="C217" s="3">
        <v>35</v>
      </c>
      <c r="D217" s="3" t="s">
        <v>26</v>
      </c>
      <c r="E217" s="4">
        <v>1050</v>
      </c>
      <c r="F217" s="3" t="s">
        <v>35</v>
      </c>
      <c r="G217" s="4">
        <v>420</v>
      </c>
      <c r="H217" s="5">
        <v>44436</v>
      </c>
      <c r="I217" s="5" t="s">
        <v>28</v>
      </c>
      <c r="J217" s="3" t="s">
        <v>40</v>
      </c>
      <c r="K217" s="4">
        <v>84</v>
      </c>
      <c r="L217" s="3" t="s">
        <v>21</v>
      </c>
      <c r="M217" s="2" t="s">
        <v>30</v>
      </c>
      <c r="N217" s="2" t="s">
        <v>104</v>
      </c>
      <c r="O217" s="2" t="s">
        <v>41</v>
      </c>
      <c r="P217" s="6">
        <f>T_CURSOS[[#This Row],[IMPORTE PROFESOR]]+T_CURSOS[[#This Row],[IMPORTE COMERCIAL]]</f>
        <v>504</v>
      </c>
      <c r="Q217" s="6">
        <f>T_CURSOS[[#This Row],[IMPORTE CLIENTE]]-T_CURSOS[[#This Row],[GASTO]]</f>
        <v>546</v>
      </c>
      <c r="R217" s="7">
        <f>T_CURSOS[[#This Row],[BENEFICIO]]/T_CURSOS[[#This Row],[IMPORTE CLIENTE]]</f>
        <v>0.52</v>
      </c>
    </row>
    <row r="218" spans="1:18" x14ac:dyDescent="0.2">
      <c r="A218" s="2" t="s">
        <v>270</v>
      </c>
      <c r="B218" s="3" t="s">
        <v>25</v>
      </c>
      <c r="C218" s="3">
        <v>40</v>
      </c>
      <c r="D218" s="3" t="s">
        <v>34</v>
      </c>
      <c r="E218" s="4">
        <v>1200</v>
      </c>
      <c r="F218" s="3" t="s">
        <v>39</v>
      </c>
      <c r="G218" s="4">
        <v>480</v>
      </c>
      <c r="H218" s="5">
        <v>43544</v>
      </c>
      <c r="I218" s="5" t="s">
        <v>28</v>
      </c>
      <c r="J218" s="3" t="s">
        <v>29</v>
      </c>
      <c r="K218" s="4">
        <v>96</v>
      </c>
      <c r="L218" s="3" t="s">
        <v>21</v>
      </c>
      <c r="M218" s="2" t="s">
        <v>22</v>
      </c>
      <c r="N218" s="2" t="s">
        <v>101</v>
      </c>
      <c r="O218" s="2" t="s">
        <v>21</v>
      </c>
      <c r="P218" s="6">
        <f>T_CURSOS[[#This Row],[IMPORTE PROFESOR]]+T_CURSOS[[#This Row],[IMPORTE COMERCIAL]]</f>
        <v>576</v>
      </c>
      <c r="Q218" s="6">
        <f>T_CURSOS[[#This Row],[IMPORTE CLIENTE]]-T_CURSOS[[#This Row],[GASTO]]</f>
        <v>624</v>
      </c>
      <c r="R218" s="7">
        <f>T_CURSOS[[#This Row],[BENEFICIO]]/T_CURSOS[[#This Row],[IMPORTE CLIENTE]]</f>
        <v>0.52</v>
      </c>
    </row>
    <row r="219" spans="1:18" x14ac:dyDescent="0.2">
      <c r="A219" s="2" t="s">
        <v>271</v>
      </c>
      <c r="B219" s="3" t="s">
        <v>25</v>
      </c>
      <c r="C219" s="3">
        <v>40</v>
      </c>
      <c r="D219" s="3" t="s">
        <v>38</v>
      </c>
      <c r="E219" s="4">
        <v>1200</v>
      </c>
      <c r="F219" s="3" t="s">
        <v>18</v>
      </c>
      <c r="G219" s="4">
        <v>480</v>
      </c>
      <c r="H219" s="5">
        <v>43883</v>
      </c>
      <c r="I219" s="5" t="s">
        <v>28</v>
      </c>
      <c r="J219" s="3" t="s">
        <v>36</v>
      </c>
      <c r="K219" s="4">
        <v>96</v>
      </c>
      <c r="L219" s="3" t="s">
        <v>21</v>
      </c>
      <c r="M219" s="2" t="s">
        <v>30</v>
      </c>
      <c r="N219" s="2" t="s">
        <v>104</v>
      </c>
      <c r="O219" s="2" t="s">
        <v>21</v>
      </c>
      <c r="P219" s="6">
        <f>T_CURSOS[[#This Row],[IMPORTE PROFESOR]]+T_CURSOS[[#This Row],[IMPORTE COMERCIAL]]</f>
        <v>576</v>
      </c>
      <c r="Q219" s="6">
        <f>T_CURSOS[[#This Row],[IMPORTE CLIENTE]]-T_CURSOS[[#This Row],[GASTO]]</f>
        <v>624</v>
      </c>
      <c r="R219" s="7">
        <f>T_CURSOS[[#This Row],[BENEFICIO]]/T_CURSOS[[#This Row],[IMPORTE CLIENTE]]</f>
        <v>0.52</v>
      </c>
    </row>
    <row r="220" spans="1:18" x14ac:dyDescent="0.2">
      <c r="A220" s="2" t="s">
        <v>272</v>
      </c>
      <c r="B220" s="3" t="s">
        <v>53</v>
      </c>
      <c r="C220" s="3">
        <v>35</v>
      </c>
      <c r="D220" s="3" t="s">
        <v>43</v>
      </c>
      <c r="E220" s="4">
        <v>875</v>
      </c>
      <c r="F220" s="3" t="s">
        <v>27</v>
      </c>
      <c r="G220" s="4">
        <v>420</v>
      </c>
      <c r="H220" s="5">
        <v>44348</v>
      </c>
      <c r="I220" s="5" t="s">
        <v>57</v>
      </c>
      <c r="J220" s="3" t="s">
        <v>40</v>
      </c>
      <c r="K220" s="4">
        <v>43.75</v>
      </c>
      <c r="L220" s="3" t="s">
        <v>21</v>
      </c>
      <c r="M220" s="2" t="s">
        <v>45</v>
      </c>
      <c r="N220" s="2" t="s">
        <v>46</v>
      </c>
      <c r="O220" s="2" t="s">
        <v>41</v>
      </c>
      <c r="P220" s="6">
        <f>T_CURSOS[[#This Row],[IMPORTE PROFESOR]]+T_CURSOS[[#This Row],[IMPORTE COMERCIAL]]</f>
        <v>463.75</v>
      </c>
      <c r="Q220" s="6">
        <f>T_CURSOS[[#This Row],[IMPORTE CLIENTE]]-T_CURSOS[[#This Row],[GASTO]]</f>
        <v>411.25</v>
      </c>
      <c r="R220" s="7">
        <f>T_CURSOS[[#This Row],[BENEFICIO]]/T_CURSOS[[#This Row],[IMPORTE CLIENTE]]</f>
        <v>0.47</v>
      </c>
    </row>
    <row r="221" spans="1:18" x14ac:dyDescent="0.2">
      <c r="A221" s="2" t="s">
        <v>273</v>
      </c>
      <c r="B221" s="3" t="s">
        <v>55</v>
      </c>
      <c r="C221" s="3">
        <v>45</v>
      </c>
      <c r="D221" s="3" t="s">
        <v>38</v>
      </c>
      <c r="E221" s="4">
        <v>1125</v>
      </c>
      <c r="F221" s="3" t="s">
        <v>35</v>
      </c>
      <c r="G221" s="4">
        <v>540</v>
      </c>
      <c r="H221" s="5">
        <v>44010</v>
      </c>
      <c r="I221" s="5" t="s">
        <v>19</v>
      </c>
      <c r="J221" s="3" t="s">
        <v>20</v>
      </c>
      <c r="K221" s="4">
        <v>56.25</v>
      </c>
      <c r="L221" s="3" t="s">
        <v>21</v>
      </c>
      <c r="M221" s="2" t="s">
        <v>30</v>
      </c>
      <c r="N221" s="2" t="s">
        <v>104</v>
      </c>
      <c r="O221" s="2" t="s">
        <v>41</v>
      </c>
      <c r="P221" s="6">
        <f>T_CURSOS[[#This Row],[IMPORTE PROFESOR]]+T_CURSOS[[#This Row],[IMPORTE COMERCIAL]]</f>
        <v>596.25</v>
      </c>
      <c r="Q221" s="6">
        <f>T_CURSOS[[#This Row],[IMPORTE CLIENTE]]-T_CURSOS[[#This Row],[GASTO]]</f>
        <v>528.75</v>
      </c>
      <c r="R221" s="7">
        <f>T_CURSOS[[#This Row],[BENEFICIO]]/T_CURSOS[[#This Row],[IMPORTE CLIENTE]]</f>
        <v>0.47</v>
      </c>
    </row>
    <row r="222" spans="1:18" x14ac:dyDescent="0.2">
      <c r="A222" s="2" t="s">
        <v>274</v>
      </c>
      <c r="B222" s="3" t="s">
        <v>55</v>
      </c>
      <c r="C222" s="3">
        <v>25</v>
      </c>
      <c r="D222" s="3" t="s">
        <v>34</v>
      </c>
      <c r="E222" s="4">
        <v>625</v>
      </c>
      <c r="F222" s="3" t="s">
        <v>39</v>
      </c>
      <c r="G222" s="4">
        <v>300</v>
      </c>
      <c r="H222" s="5">
        <v>44045</v>
      </c>
      <c r="I222" s="5" t="s">
        <v>19</v>
      </c>
      <c r="J222" s="3" t="s">
        <v>29</v>
      </c>
      <c r="K222" s="4">
        <v>31.25</v>
      </c>
      <c r="L222" s="3" t="s">
        <v>21</v>
      </c>
      <c r="M222" s="2" t="s">
        <v>22</v>
      </c>
      <c r="N222" s="2" t="s">
        <v>73</v>
      </c>
      <c r="O222" s="2" t="s">
        <v>21</v>
      </c>
      <c r="P222" s="6">
        <f>T_CURSOS[[#This Row],[IMPORTE PROFESOR]]+T_CURSOS[[#This Row],[IMPORTE COMERCIAL]]</f>
        <v>331.25</v>
      </c>
      <c r="Q222" s="6">
        <f>T_CURSOS[[#This Row],[IMPORTE CLIENTE]]-T_CURSOS[[#This Row],[GASTO]]</f>
        <v>293.75</v>
      </c>
      <c r="R222" s="7">
        <f>T_CURSOS[[#This Row],[BENEFICIO]]/T_CURSOS[[#This Row],[IMPORTE CLIENTE]]</f>
        <v>0.47</v>
      </c>
    </row>
    <row r="223" spans="1:18" x14ac:dyDescent="0.2">
      <c r="A223" s="2" t="s">
        <v>275</v>
      </c>
      <c r="B223" s="3" t="s">
        <v>55</v>
      </c>
      <c r="C223" s="3">
        <v>20</v>
      </c>
      <c r="D223" s="3" t="s">
        <v>38</v>
      </c>
      <c r="E223" s="4">
        <v>500</v>
      </c>
      <c r="F223" s="3" t="s">
        <v>44</v>
      </c>
      <c r="G223" s="4">
        <v>240</v>
      </c>
      <c r="H223" s="5">
        <v>44414</v>
      </c>
      <c r="I223" s="5" t="s">
        <v>19</v>
      </c>
      <c r="J223" s="3" t="s">
        <v>36</v>
      </c>
      <c r="K223" s="4">
        <v>25</v>
      </c>
      <c r="L223" s="3" t="s">
        <v>21</v>
      </c>
      <c r="M223" s="2" t="s">
        <v>30</v>
      </c>
      <c r="N223" s="2" t="s">
        <v>104</v>
      </c>
      <c r="O223" s="2" t="s">
        <v>21</v>
      </c>
      <c r="P223" s="6">
        <f>T_CURSOS[[#This Row],[IMPORTE PROFESOR]]+T_CURSOS[[#This Row],[IMPORTE COMERCIAL]]</f>
        <v>265</v>
      </c>
      <c r="Q223" s="6">
        <f>T_CURSOS[[#This Row],[IMPORTE CLIENTE]]-T_CURSOS[[#This Row],[GASTO]]</f>
        <v>235</v>
      </c>
      <c r="R223" s="7">
        <f>T_CURSOS[[#This Row],[BENEFICIO]]/T_CURSOS[[#This Row],[IMPORTE CLIENTE]]</f>
        <v>0.47</v>
      </c>
    </row>
    <row r="224" spans="1:18" x14ac:dyDescent="0.2">
      <c r="A224" s="2" t="s">
        <v>276</v>
      </c>
      <c r="B224" s="3" t="s">
        <v>53</v>
      </c>
      <c r="C224" s="3">
        <v>10</v>
      </c>
      <c r="D224" s="3" t="s">
        <v>51</v>
      </c>
      <c r="E224" s="4">
        <v>250</v>
      </c>
      <c r="F224" s="3" t="s">
        <v>27</v>
      </c>
      <c r="G224" s="4">
        <v>120</v>
      </c>
      <c r="H224" s="5">
        <v>43813</v>
      </c>
      <c r="I224" s="5" t="s">
        <v>19</v>
      </c>
      <c r="J224" s="3" t="s">
        <v>20</v>
      </c>
      <c r="K224" s="4">
        <v>12.5</v>
      </c>
      <c r="L224" s="3" t="s">
        <v>21</v>
      </c>
      <c r="M224" s="2" t="s">
        <v>45</v>
      </c>
      <c r="N224" s="2" t="s">
        <v>46</v>
      </c>
      <c r="O224" s="2" t="s">
        <v>41</v>
      </c>
      <c r="P224" s="6">
        <f>T_CURSOS[[#This Row],[IMPORTE PROFESOR]]+T_CURSOS[[#This Row],[IMPORTE COMERCIAL]]</f>
        <v>132.5</v>
      </c>
      <c r="Q224" s="6">
        <f>T_CURSOS[[#This Row],[IMPORTE CLIENTE]]-T_CURSOS[[#This Row],[GASTO]]</f>
        <v>117.5</v>
      </c>
      <c r="R224" s="7">
        <f>T_CURSOS[[#This Row],[BENEFICIO]]/T_CURSOS[[#This Row],[IMPORTE CLIENTE]]</f>
        <v>0.47</v>
      </c>
    </row>
    <row r="225" spans="1:18" x14ac:dyDescent="0.2">
      <c r="A225" s="2" t="s">
        <v>277</v>
      </c>
      <c r="B225" s="3" t="s">
        <v>63</v>
      </c>
      <c r="C225" s="3">
        <v>12</v>
      </c>
      <c r="D225" s="3" t="s">
        <v>34</v>
      </c>
      <c r="E225" s="4">
        <v>900</v>
      </c>
      <c r="F225" s="3" t="s">
        <v>35</v>
      </c>
      <c r="G225" s="4">
        <v>144</v>
      </c>
      <c r="H225" s="5">
        <v>44330</v>
      </c>
      <c r="I225" s="5" t="s">
        <v>28</v>
      </c>
      <c r="J225" s="3" t="s">
        <v>29</v>
      </c>
      <c r="K225" s="4">
        <v>135</v>
      </c>
      <c r="L225" s="3" t="s">
        <v>21</v>
      </c>
      <c r="M225" s="2" t="s">
        <v>22</v>
      </c>
      <c r="N225" s="2" t="s">
        <v>73</v>
      </c>
      <c r="O225" s="2" t="s">
        <v>21</v>
      </c>
      <c r="P225" s="6">
        <f>T_CURSOS[[#This Row],[IMPORTE PROFESOR]]+T_CURSOS[[#This Row],[IMPORTE COMERCIAL]]</f>
        <v>279</v>
      </c>
      <c r="Q225" s="6">
        <f>T_CURSOS[[#This Row],[IMPORTE CLIENTE]]-T_CURSOS[[#This Row],[GASTO]]</f>
        <v>621</v>
      </c>
      <c r="R225" s="7">
        <f>T_CURSOS[[#This Row],[BENEFICIO]]/T_CURSOS[[#This Row],[IMPORTE CLIENTE]]</f>
        <v>0.69</v>
      </c>
    </row>
    <row r="226" spans="1:18" x14ac:dyDescent="0.2">
      <c r="A226" s="2" t="s">
        <v>278</v>
      </c>
      <c r="B226" s="3" t="s">
        <v>65</v>
      </c>
      <c r="C226" s="3">
        <v>15</v>
      </c>
      <c r="D226" s="3" t="s">
        <v>56</v>
      </c>
      <c r="E226" s="4">
        <v>900</v>
      </c>
      <c r="F226" s="3" t="s">
        <v>39</v>
      </c>
      <c r="G226" s="4">
        <v>180</v>
      </c>
      <c r="H226" s="5">
        <v>44226</v>
      </c>
      <c r="I226" s="5" t="s">
        <v>28</v>
      </c>
      <c r="J226" s="3" t="s">
        <v>36</v>
      </c>
      <c r="K226" s="4">
        <v>108</v>
      </c>
      <c r="L226" s="3" t="s">
        <v>21</v>
      </c>
      <c r="M226" s="2" t="s">
        <v>22</v>
      </c>
      <c r="N226" s="2" t="s">
        <v>73</v>
      </c>
      <c r="O226" s="2" t="s">
        <v>21</v>
      </c>
      <c r="P226" s="6">
        <f>T_CURSOS[[#This Row],[IMPORTE PROFESOR]]+T_CURSOS[[#This Row],[IMPORTE COMERCIAL]]</f>
        <v>288</v>
      </c>
      <c r="Q226" s="6">
        <f>T_CURSOS[[#This Row],[IMPORTE CLIENTE]]-T_CURSOS[[#This Row],[GASTO]]</f>
        <v>612</v>
      </c>
      <c r="R226" s="7">
        <f>T_CURSOS[[#This Row],[BENEFICIO]]/T_CURSOS[[#This Row],[IMPORTE CLIENTE]]</f>
        <v>0.68</v>
      </c>
    </row>
    <row r="227" spans="1:18" x14ac:dyDescent="0.2">
      <c r="A227" s="2" t="s">
        <v>279</v>
      </c>
      <c r="B227" s="3" t="s">
        <v>65</v>
      </c>
      <c r="C227" s="3">
        <v>20</v>
      </c>
      <c r="D227" s="3" t="s">
        <v>43</v>
      </c>
      <c r="E227" s="4">
        <v>1200</v>
      </c>
      <c r="F227" s="3" t="s">
        <v>44</v>
      </c>
      <c r="G227" s="4">
        <v>240</v>
      </c>
      <c r="H227" s="5">
        <v>43630</v>
      </c>
      <c r="I227" s="5" t="s">
        <v>28</v>
      </c>
      <c r="J227" s="3" t="s">
        <v>40</v>
      </c>
      <c r="K227" s="4">
        <v>144</v>
      </c>
      <c r="L227" s="3" t="s">
        <v>21</v>
      </c>
      <c r="M227" s="2" t="s">
        <v>45</v>
      </c>
      <c r="N227" s="2" t="s">
        <v>46</v>
      </c>
      <c r="O227" s="2" t="s">
        <v>41</v>
      </c>
      <c r="P227" s="6">
        <f>T_CURSOS[[#This Row],[IMPORTE PROFESOR]]+T_CURSOS[[#This Row],[IMPORTE COMERCIAL]]</f>
        <v>384</v>
      </c>
      <c r="Q227" s="6">
        <f>T_CURSOS[[#This Row],[IMPORTE CLIENTE]]-T_CURSOS[[#This Row],[GASTO]]</f>
        <v>816</v>
      </c>
      <c r="R227" s="7">
        <f>T_CURSOS[[#This Row],[BENEFICIO]]/T_CURSOS[[#This Row],[IMPORTE CLIENTE]]</f>
        <v>0.68</v>
      </c>
    </row>
    <row r="228" spans="1:18" x14ac:dyDescent="0.2">
      <c r="A228" s="2" t="s">
        <v>280</v>
      </c>
      <c r="B228" s="3" t="s">
        <v>65</v>
      </c>
      <c r="C228" s="3">
        <v>25</v>
      </c>
      <c r="D228" s="3" t="s">
        <v>51</v>
      </c>
      <c r="E228" s="4">
        <v>1500</v>
      </c>
      <c r="F228" s="3" t="s">
        <v>27</v>
      </c>
      <c r="G228" s="4">
        <v>300</v>
      </c>
      <c r="H228" s="5">
        <v>43580</v>
      </c>
      <c r="I228" s="5" t="s">
        <v>28</v>
      </c>
      <c r="J228" s="3" t="s">
        <v>20</v>
      </c>
      <c r="K228" s="4">
        <v>180</v>
      </c>
      <c r="L228" s="3" t="s">
        <v>21</v>
      </c>
      <c r="M228" s="2" t="s">
        <v>45</v>
      </c>
      <c r="N228" s="2" t="s">
        <v>46</v>
      </c>
      <c r="O228" s="2" t="s">
        <v>21</v>
      </c>
      <c r="P228" s="6">
        <f>T_CURSOS[[#This Row],[IMPORTE PROFESOR]]+T_CURSOS[[#This Row],[IMPORTE COMERCIAL]]</f>
        <v>480</v>
      </c>
      <c r="Q228" s="6">
        <f>T_CURSOS[[#This Row],[IMPORTE CLIENTE]]-T_CURSOS[[#This Row],[GASTO]]</f>
        <v>1020</v>
      </c>
      <c r="R228" s="7">
        <f>T_CURSOS[[#This Row],[BENEFICIO]]/T_CURSOS[[#This Row],[IMPORTE CLIENTE]]</f>
        <v>0.68</v>
      </c>
    </row>
    <row r="229" spans="1:18" x14ac:dyDescent="0.2">
      <c r="A229" s="2" t="s">
        <v>281</v>
      </c>
      <c r="B229" s="3" t="s">
        <v>25</v>
      </c>
      <c r="C229" s="3">
        <v>30</v>
      </c>
      <c r="D229" s="3" t="s">
        <v>61</v>
      </c>
      <c r="E229" s="4">
        <v>1200</v>
      </c>
      <c r="F229" s="3" t="s">
        <v>35</v>
      </c>
      <c r="G229" s="4">
        <v>360</v>
      </c>
      <c r="H229" s="5">
        <v>43603</v>
      </c>
      <c r="I229" s="5" t="s">
        <v>57</v>
      </c>
      <c r="J229" s="3" t="s">
        <v>29</v>
      </c>
      <c r="K229" s="4">
        <v>120</v>
      </c>
      <c r="L229" s="3" t="s">
        <v>21</v>
      </c>
      <c r="M229" s="2" t="s">
        <v>22</v>
      </c>
      <c r="N229" s="2" t="s">
        <v>73</v>
      </c>
      <c r="O229" s="2" t="s">
        <v>21</v>
      </c>
      <c r="P229" s="6">
        <f>T_CURSOS[[#This Row],[IMPORTE PROFESOR]]+T_CURSOS[[#This Row],[IMPORTE COMERCIAL]]</f>
        <v>480</v>
      </c>
      <c r="Q229" s="6">
        <f>T_CURSOS[[#This Row],[IMPORTE CLIENTE]]-T_CURSOS[[#This Row],[GASTO]]</f>
        <v>720</v>
      </c>
      <c r="R229" s="7">
        <f>T_CURSOS[[#This Row],[BENEFICIO]]/T_CURSOS[[#This Row],[IMPORTE CLIENTE]]</f>
        <v>0.6</v>
      </c>
    </row>
    <row r="230" spans="1:18" x14ac:dyDescent="0.2">
      <c r="A230" s="2" t="s">
        <v>282</v>
      </c>
      <c r="B230" s="3" t="s">
        <v>53</v>
      </c>
      <c r="C230" s="3">
        <v>40</v>
      </c>
      <c r="D230" s="3" t="s">
        <v>38</v>
      </c>
      <c r="E230" s="4">
        <v>1600</v>
      </c>
      <c r="F230" s="3" t="s">
        <v>39</v>
      </c>
      <c r="G230" s="4">
        <v>480</v>
      </c>
      <c r="H230" s="5">
        <v>43634</v>
      </c>
      <c r="I230" s="5" t="s">
        <v>57</v>
      </c>
      <c r="J230" s="3" t="s">
        <v>36</v>
      </c>
      <c r="K230" s="4">
        <v>160</v>
      </c>
      <c r="L230" s="3" t="s">
        <v>41</v>
      </c>
      <c r="M230" s="2" t="s">
        <v>30</v>
      </c>
      <c r="N230" s="2" t="s">
        <v>104</v>
      </c>
      <c r="O230" s="2" t="s">
        <v>21</v>
      </c>
      <c r="P230" s="6">
        <f>T_CURSOS[[#This Row],[IMPORTE PROFESOR]]+T_CURSOS[[#This Row],[IMPORTE COMERCIAL]]</f>
        <v>640</v>
      </c>
      <c r="Q230" s="6">
        <f>T_CURSOS[[#This Row],[IMPORTE CLIENTE]]-T_CURSOS[[#This Row],[GASTO]]</f>
        <v>960</v>
      </c>
      <c r="R230" s="7">
        <f>T_CURSOS[[#This Row],[BENEFICIO]]/T_CURSOS[[#This Row],[IMPORTE CLIENTE]]</f>
        <v>0.6</v>
      </c>
    </row>
    <row r="231" spans="1:18" x14ac:dyDescent="0.2">
      <c r="A231" s="2" t="s">
        <v>283</v>
      </c>
      <c r="B231" s="3" t="s">
        <v>55</v>
      </c>
      <c r="C231" s="3">
        <v>35</v>
      </c>
      <c r="D231" s="3" t="s">
        <v>43</v>
      </c>
      <c r="E231" s="4">
        <v>1400</v>
      </c>
      <c r="F231" s="3" t="s">
        <v>18</v>
      </c>
      <c r="G231" s="4">
        <v>420</v>
      </c>
      <c r="H231" s="5">
        <v>43513</v>
      </c>
      <c r="I231" s="5" t="s">
        <v>57</v>
      </c>
      <c r="J231" s="3" t="s">
        <v>40</v>
      </c>
      <c r="K231" s="4">
        <v>140</v>
      </c>
      <c r="L231" s="3" t="s">
        <v>41</v>
      </c>
      <c r="M231" s="2" t="s">
        <v>45</v>
      </c>
      <c r="N231" s="2" t="s">
        <v>46</v>
      </c>
      <c r="O231" s="2" t="s">
        <v>21</v>
      </c>
      <c r="P231" s="6">
        <f>T_CURSOS[[#This Row],[IMPORTE PROFESOR]]+T_CURSOS[[#This Row],[IMPORTE COMERCIAL]]</f>
        <v>560</v>
      </c>
      <c r="Q231" s="6">
        <f>T_CURSOS[[#This Row],[IMPORTE CLIENTE]]-T_CURSOS[[#This Row],[GASTO]]</f>
        <v>840</v>
      </c>
      <c r="R231" s="7">
        <f>T_CURSOS[[#This Row],[BENEFICIO]]/T_CURSOS[[#This Row],[IMPORTE CLIENTE]]</f>
        <v>0.6</v>
      </c>
    </row>
    <row r="232" spans="1:18" x14ac:dyDescent="0.2">
      <c r="A232" s="2" t="s">
        <v>284</v>
      </c>
      <c r="B232" s="3" t="s">
        <v>55</v>
      </c>
      <c r="C232" s="3">
        <v>45</v>
      </c>
      <c r="D232" s="3" t="s">
        <v>51</v>
      </c>
      <c r="E232" s="4">
        <v>1800</v>
      </c>
      <c r="F232" s="3" t="s">
        <v>27</v>
      </c>
      <c r="G232" s="4">
        <v>540</v>
      </c>
      <c r="H232" s="5">
        <v>43754</v>
      </c>
      <c r="I232" s="5" t="s">
        <v>28</v>
      </c>
      <c r="J232" s="3" t="s">
        <v>29</v>
      </c>
      <c r="K232" s="4">
        <v>180</v>
      </c>
      <c r="L232" s="3" t="s">
        <v>41</v>
      </c>
      <c r="M232" s="2" t="s">
        <v>45</v>
      </c>
      <c r="N232" s="2" t="s">
        <v>46</v>
      </c>
      <c r="O232" s="2" t="s">
        <v>21</v>
      </c>
      <c r="P232" s="6">
        <f>T_CURSOS[[#This Row],[IMPORTE PROFESOR]]+T_CURSOS[[#This Row],[IMPORTE COMERCIAL]]</f>
        <v>720</v>
      </c>
      <c r="Q232" s="6">
        <f>T_CURSOS[[#This Row],[IMPORTE CLIENTE]]-T_CURSOS[[#This Row],[GASTO]]</f>
        <v>1080</v>
      </c>
      <c r="R232" s="7">
        <f>T_CURSOS[[#This Row],[BENEFICIO]]/T_CURSOS[[#This Row],[IMPORTE CLIENTE]]</f>
        <v>0.6</v>
      </c>
    </row>
    <row r="233" spans="1:18" x14ac:dyDescent="0.2">
      <c r="A233" s="2" t="s">
        <v>285</v>
      </c>
      <c r="B233" s="3" t="s">
        <v>55</v>
      </c>
      <c r="C233" s="3">
        <v>18</v>
      </c>
      <c r="D233" s="3" t="s">
        <v>34</v>
      </c>
      <c r="E233" s="4">
        <v>540</v>
      </c>
      <c r="F233" s="3" t="s">
        <v>35</v>
      </c>
      <c r="G233" s="4">
        <v>216</v>
      </c>
      <c r="H233" s="5">
        <v>43471</v>
      </c>
      <c r="I233" s="5" t="s">
        <v>28</v>
      </c>
      <c r="J233" s="3" t="s">
        <v>36</v>
      </c>
      <c r="K233" s="4">
        <v>43.2</v>
      </c>
      <c r="L233" s="3" t="s">
        <v>41</v>
      </c>
      <c r="M233" s="2" t="s">
        <v>22</v>
      </c>
      <c r="N233" s="2" t="s">
        <v>73</v>
      </c>
      <c r="O233" s="2" t="s">
        <v>21</v>
      </c>
      <c r="P233" s="6">
        <f>T_CURSOS[[#This Row],[IMPORTE PROFESOR]]+T_CURSOS[[#This Row],[IMPORTE COMERCIAL]]</f>
        <v>259.2</v>
      </c>
      <c r="Q233" s="6">
        <f>T_CURSOS[[#This Row],[IMPORTE CLIENTE]]-T_CURSOS[[#This Row],[GASTO]]</f>
        <v>280.8</v>
      </c>
      <c r="R233" s="7">
        <f>T_CURSOS[[#This Row],[BENEFICIO]]/T_CURSOS[[#This Row],[IMPORTE CLIENTE]]</f>
        <v>0.52</v>
      </c>
    </row>
    <row r="234" spans="1:18" x14ac:dyDescent="0.2">
      <c r="A234" s="2" t="s">
        <v>286</v>
      </c>
      <c r="B234" s="3" t="s">
        <v>53</v>
      </c>
      <c r="C234" s="3">
        <v>10</v>
      </c>
      <c r="D234" s="3" t="s">
        <v>56</v>
      </c>
      <c r="E234" s="4">
        <v>300</v>
      </c>
      <c r="F234" s="3" t="s">
        <v>35</v>
      </c>
      <c r="G234" s="4">
        <v>120</v>
      </c>
      <c r="H234" s="5">
        <v>44094</v>
      </c>
      <c r="I234" s="5" t="s">
        <v>28</v>
      </c>
      <c r="J234" s="3" t="s">
        <v>40</v>
      </c>
      <c r="K234" s="4">
        <v>24</v>
      </c>
      <c r="L234" s="3" t="s">
        <v>21</v>
      </c>
      <c r="M234" s="2" t="s">
        <v>22</v>
      </c>
      <c r="N234" s="2" t="s">
        <v>73</v>
      </c>
      <c r="O234" s="2" t="s">
        <v>21</v>
      </c>
      <c r="P234" s="6">
        <f>T_CURSOS[[#This Row],[IMPORTE PROFESOR]]+T_CURSOS[[#This Row],[IMPORTE COMERCIAL]]</f>
        <v>144</v>
      </c>
      <c r="Q234" s="6">
        <f>T_CURSOS[[#This Row],[IMPORTE CLIENTE]]-T_CURSOS[[#This Row],[GASTO]]</f>
        <v>156</v>
      </c>
      <c r="R234" s="7">
        <f>T_CURSOS[[#This Row],[BENEFICIO]]/T_CURSOS[[#This Row],[IMPORTE CLIENTE]]</f>
        <v>0.52</v>
      </c>
    </row>
    <row r="235" spans="1:18" x14ac:dyDescent="0.2">
      <c r="A235" s="2" t="s">
        <v>287</v>
      </c>
      <c r="B235" s="3" t="s">
        <v>63</v>
      </c>
      <c r="C235" s="3">
        <v>45</v>
      </c>
      <c r="D235" s="3" t="s">
        <v>56</v>
      </c>
      <c r="E235" s="4">
        <v>1350</v>
      </c>
      <c r="F235" s="3" t="s">
        <v>39</v>
      </c>
      <c r="G235" s="4">
        <v>540</v>
      </c>
      <c r="H235" s="5">
        <v>43707</v>
      </c>
      <c r="I235" s="5" t="s">
        <v>28</v>
      </c>
      <c r="J235" s="3" t="s">
        <v>20</v>
      </c>
      <c r="K235" s="4">
        <v>108</v>
      </c>
      <c r="L235" s="3" t="s">
        <v>21</v>
      </c>
      <c r="M235" s="2" t="s">
        <v>22</v>
      </c>
      <c r="N235" s="2" t="s">
        <v>101</v>
      </c>
      <c r="O235" s="2" t="s">
        <v>21</v>
      </c>
      <c r="P235" s="6">
        <f>T_CURSOS[[#This Row],[IMPORTE PROFESOR]]+T_CURSOS[[#This Row],[IMPORTE COMERCIAL]]</f>
        <v>648</v>
      </c>
      <c r="Q235" s="6">
        <f>T_CURSOS[[#This Row],[IMPORTE CLIENTE]]-T_CURSOS[[#This Row],[GASTO]]</f>
        <v>702</v>
      </c>
      <c r="R235" s="7">
        <f>T_CURSOS[[#This Row],[BENEFICIO]]/T_CURSOS[[#This Row],[IMPORTE CLIENTE]]</f>
        <v>0.52</v>
      </c>
    </row>
    <row r="236" spans="1:18" x14ac:dyDescent="0.2">
      <c r="A236" s="2" t="s">
        <v>288</v>
      </c>
      <c r="B236" s="3" t="s">
        <v>65</v>
      </c>
      <c r="C236" s="3">
        <v>25</v>
      </c>
      <c r="D236" s="3" t="s">
        <v>51</v>
      </c>
      <c r="E236" s="4">
        <v>625</v>
      </c>
      <c r="F236" s="3" t="s">
        <v>44</v>
      </c>
      <c r="G236" s="4">
        <v>300</v>
      </c>
      <c r="H236" s="5">
        <v>43534</v>
      </c>
      <c r="I236" s="5" t="s">
        <v>57</v>
      </c>
      <c r="J236" s="3" t="s">
        <v>29</v>
      </c>
      <c r="K236" s="4">
        <v>43.75</v>
      </c>
      <c r="L236" s="3" t="s">
        <v>21</v>
      </c>
      <c r="M236" s="2" t="s">
        <v>45</v>
      </c>
      <c r="N236" s="2" t="s">
        <v>46</v>
      </c>
      <c r="O236" s="2" t="s">
        <v>21</v>
      </c>
      <c r="P236" s="6">
        <f>T_CURSOS[[#This Row],[IMPORTE PROFESOR]]+T_CURSOS[[#This Row],[IMPORTE COMERCIAL]]</f>
        <v>343.75</v>
      </c>
      <c r="Q236" s="6">
        <f>T_CURSOS[[#This Row],[IMPORTE CLIENTE]]-T_CURSOS[[#This Row],[GASTO]]</f>
        <v>281.25</v>
      </c>
      <c r="R236" s="7">
        <f>T_CURSOS[[#This Row],[BENEFICIO]]/T_CURSOS[[#This Row],[IMPORTE CLIENTE]]</f>
        <v>0.45</v>
      </c>
    </row>
    <row r="237" spans="1:18" x14ac:dyDescent="0.2">
      <c r="A237" s="2" t="s">
        <v>289</v>
      </c>
      <c r="B237" s="3" t="s">
        <v>65</v>
      </c>
      <c r="C237" s="3">
        <v>20</v>
      </c>
      <c r="D237" s="3" t="s">
        <v>43</v>
      </c>
      <c r="E237" s="4">
        <v>500</v>
      </c>
      <c r="F237" s="3" t="s">
        <v>27</v>
      </c>
      <c r="G237" s="4">
        <v>240</v>
      </c>
      <c r="H237" s="5">
        <v>43959</v>
      </c>
      <c r="I237" s="5" t="s">
        <v>57</v>
      </c>
      <c r="J237" s="3" t="s">
        <v>36</v>
      </c>
      <c r="K237" s="4">
        <v>35</v>
      </c>
      <c r="L237" s="3" t="s">
        <v>21</v>
      </c>
      <c r="M237" s="2" t="s">
        <v>45</v>
      </c>
      <c r="N237" s="2" t="s">
        <v>46</v>
      </c>
      <c r="O237" s="2" t="s">
        <v>21</v>
      </c>
      <c r="P237" s="6">
        <f>T_CURSOS[[#This Row],[IMPORTE PROFESOR]]+T_CURSOS[[#This Row],[IMPORTE COMERCIAL]]</f>
        <v>275</v>
      </c>
      <c r="Q237" s="6">
        <f>T_CURSOS[[#This Row],[IMPORTE CLIENTE]]-T_CURSOS[[#This Row],[GASTO]]</f>
        <v>225</v>
      </c>
      <c r="R237" s="7">
        <f>T_CURSOS[[#This Row],[BENEFICIO]]/T_CURSOS[[#This Row],[IMPORTE CLIENTE]]</f>
        <v>0.45</v>
      </c>
    </row>
    <row r="238" spans="1:18" x14ac:dyDescent="0.2">
      <c r="A238" s="2" t="s">
        <v>290</v>
      </c>
      <c r="B238" s="3" t="s">
        <v>65</v>
      </c>
      <c r="C238" s="3">
        <v>10</v>
      </c>
      <c r="D238" s="3" t="s">
        <v>61</v>
      </c>
      <c r="E238" s="4">
        <v>250</v>
      </c>
      <c r="F238" s="3" t="s">
        <v>35</v>
      </c>
      <c r="G238" s="4">
        <v>120</v>
      </c>
      <c r="H238" s="5">
        <v>43705</v>
      </c>
      <c r="I238" s="5" t="s">
        <v>57</v>
      </c>
      <c r="J238" s="3" t="s">
        <v>20</v>
      </c>
      <c r="K238" s="4">
        <v>17.5</v>
      </c>
      <c r="L238" s="3" t="s">
        <v>21</v>
      </c>
      <c r="M238" s="2" t="s">
        <v>22</v>
      </c>
      <c r="N238" s="2" t="s">
        <v>101</v>
      </c>
      <c r="O238" s="2" t="s">
        <v>21</v>
      </c>
      <c r="P238" s="6">
        <f>T_CURSOS[[#This Row],[IMPORTE PROFESOR]]+T_CURSOS[[#This Row],[IMPORTE COMERCIAL]]</f>
        <v>137.5</v>
      </c>
      <c r="Q238" s="6">
        <f>T_CURSOS[[#This Row],[IMPORTE CLIENTE]]-T_CURSOS[[#This Row],[GASTO]]</f>
        <v>112.5</v>
      </c>
      <c r="R238" s="7">
        <f>T_CURSOS[[#This Row],[BENEFICIO]]/T_CURSOS[[#This Row],[IMPORTE CLIENTE]]</f>
        <v>0.45</v>
      </c>
    </row>
    <row r="239" spans="1:18" x14ac:dyDescent="0.2">
      <c r="A239" s="2" t="s">
        <v>291</v>
      </c>
      <c r="B239" s="3" t="s">
        <v>33</v>
      </c>
      <c r="C239" s="3">
        <v>12</v>
      </c>
      <c r="D239" s="3" t="s">
        <v>61</v>
      </c>
      <c r="E239" s="4">
        <v>300</v>
      </c>
      <c r="F239" s="3" t="s">
        <v>39</v>
      </c>
      <c r="G239" s="4">
        <v>144</v>
      </c>
      <c r="H239" s="5">
        <v>43561</v>
      </c>
      <c r="I239" s="5" t="s">
        <v>57</v>
      </c>
      <c r="J239" s="3" t="s">
        <v>29</v>
      </c>
      <c r="K239" s="4">
        <v>15</v>
      </c>
      <c r="L239" s="3" t="s">
        <v>21</v>
      </c>
      <c r="M239" s="2" t="s">
        <v>22</v>
      </c>
      <c r="N239" s="2" t="s">
        <v>101</v>
      </c>
      <c r="O239" s="2" t="s">
        <v>21</v>
      </c>
      <c r="P239" s="6">
        <f>T_CURSOS[[#This Row],[IMPORTE PROFESOR]]+T_CURSOS[[#This Row],[IMPORTE COMERCIAL]]</f>
        <v>159</v>
      </c>
      <c r="Q239" s="6">
        <f>T_CURSOS[[#This Row],[IMPORTE CLIENTE]]-T_CURSOS[[#This Row],[GASTO]]</f>
        <v>141</v>
      </c>
      <c r="R239" s="7">
        <f>T_CURSOS[[#This Row],[BENEFICIO]]/T_CURSOS[[#This Row],[IMPORTE CLIENTE]]</f>
        <v>0.47</v>
      </c>
    </row>
    <row r="240" spans="1:18" x14ac:dyDescent="0.2">
      <c r="A240" s="2" t="s">
        <v>292</v>
      </c>
      <c r="B240" s="3" t="s">
        <v>33</v>
      </c>
      <c r="C240" s="3">
        <v>15</v>
      </c>
      <c r="D240" s="3" t="s">
        <v>56</v>
      </c>
      <c r="E240" s="4">
        <v>1125</v>
      </c>
      <c r="F240" s="3" t="s">
        <v>18</v>
      </c>
      <c r="G240" s="4">
        <v>180</v>
      </c>
      <c r="H240" s="5">
        <v>44188</v>
      </c>
      <c r="I240" s="5" t="s">
        <v>57</v>
      </c>
      <c r="J240" s="3" t="s">
        <v>36</v>
      </c>
      <c r="K240" s="4">
        <v>168.75</v>
      </c>
      <c r="L240" s="3" t="s">
        <v>21</v>
      </c>
      <c r="M240" s="2" t="s">
        <v>22</v>
      </c>
      <c r="N240" s="2" t="s">
        <v>101</v>
      </c>
      <c r="O240" s="2" t="s">
        <v>21</v>
      </c>
      <c r="P240" s="6">
        <f>T_CURSOS[[#This Row],[IMPORTE PROFESOR]]+T_CURSOS[[#This Row],[IMPORTE COMERCIAL]]</f>
        <v>348.75</v>
      </c>
      <c r="Q240" s="6">
        <f>T_CURSOS[[#This Row],[IMPORTE CLIENTE]]-T_CURSOS[[#This Row],[GASTO]]</f>
        <v>776.25</v>
      </c>
      <c r="R240" s="7">
        <f>T_CURSOS[[#This Row],[BENEFICIO]]/T_CURSOS[[#This Row],[IMPORTE CLIENTE]]</f>
        <v>0.69</v>
      </c>
    </row>
    <row r="241" spans="1:18" x14ac:dyDescent="0.2">
      <c r="A241" s="2" t="s">
        <v>293</v>
      </c>
      <c r="B241" s="3" t="s">
        <v>33</v>
      </c>
      <c r="C241" s="3">
        <v>20</v>
      </c>
      <c r="D241" s="3" t="s">
        <v>43</v>
      </c>
      <c r="E241" s="4">
        <v>1200</v>
      </c>
      <c r="F241" s="3" t="s">
        <v>27</v>
      </c>
      <c r="G241" s="4">
        <v>240</v>
      </c>
      <c r="H241" s="5">
        <v>44173</v>
      </c>
      <c r="I241" s="5" t="s">
        <v>28</v>
      </c>
      <c r="J241" s="3" t="s">
        <v>40</v>
      </c>
      <c r="K241" s="4">
        <v>144</v>
      </c>
      <c r="L241" s="3" t="s">
        <v>41</v>
      </c>
      <c r="M241" s="2" t="s">
        <v>45</v>
      </c>
      <c r="N241" s="2" t="s">
        <v>46</v>
      </c>
      <c r="O241" s="2" t="s">
        <v>41</v>
      </c>
      <c r="P241" s="6">
        <f>T_CURSOS[[#This Row],[IMPORTE PROFESOR]]+T_CURSOS[[#This Row],[IMPORTE COMERCIAL]]</f>
        <v>384</v>
      </c>
      <c r="Q241" s="6">
        <f>T_CURSOS[[#This Row],[IMPORTE CLIENTE]]-T_CURSOS[[#This Row],[GASTO]]</f>
        <v>816</v>
      </c>
      <c r="R241" s="7">
        <f>T_CURSOS[[#This Row],[BENEFICIO]]/T_CURSOS[[#This Row],[IMPORTE CLIENTE]]</f>
        <v>0.68</v>
      </c>
    </row>
    <row r="242" spans="1:18" x14ac:dyDescent="0.2">
      <c r="A242" s="2" t="s">
        <v>294</v>
      </c>
      <c r="B242" s="3" t="s">
        <v>33</v>
      </c>
      <c r="C242" s="3">
        <v>25</v>
      </c>
      <c r="D242" s="3" t="s">
        <v>38</v>
      </c>
      <c r="E242" s="4">
        <v>1500</v>
      </c>
      <c r="F242" s="3" t="s">
        <v>35</v>
      </c>
      <c r="G242" s="4">
        <v>300</v>
      </c>
      <c r="H242" s="5">
        <v>44415</v>
      </c>
      <c r="I242" s="5" t="s">
        <v>19</v>
      </c>
      <c r="J242" s="3" t="s">
        <v>20</v>
      </c>
      <c r="K242" s="4">
        <v>180</v>
      </c>
      <c r="L242" s="3" t="s">
        <v>41</v>
      </c>
      <c r="M242" s="2" t="s">
        <v>30</v>
      </c>
      <c r="N242" s="2" t="s">
        <v>104</v>
      </c>
      <c r="O242" s="2" t="s">
        <v>21</v>
      </c>
      <c r="P242" s="6">
        <f>T_CURSOS[[#This Row],[IMPORTE PROFESOR]]+T_CURSOS[[#This Row],[IMPORTE COMERCIAL]]</f>
        <v>480</v>
      </c>
      <c r="Q242" s="6">
        <f>T_CURSOS[[#This Row],[IMPORTE CLIENTE]]-T_CURSOS[[#This Row],[GASTO]]</f>
        <v>1020</v>
      </c>
      <c r="R242" s="7">
        <f>T_CURSOS[[#This Row],[BENEFICIO]]/T_CURSOS[[#This Row],[IMPORTE CLIENTE]]</f>
        <v>0.68</v>
      </c>
    </row>
    <row r="243" spans="1:18" x14ac:dyDescent="0.2">
      <c r="A243" s="2" t="s">
        <v>295</v>
      </c>
      <c r="B243" s="3" t="s">
        <v>25</v>
      </c>
      <c r="C243" s="3">
        <v>30</v>
      </c>
      <c r="D243" s="3" t="s">
        <v>43</v>
      </c>
      <c r="E243" s="4">
        <v>1800</v>
      </c>
      <c r="F243" s="3" t="s">
        <v>39</v>
      </c>
      <c r="G243" s="4">
        <v>360</v>
      </c>
      <c r="H243" s="5">
        <v>43533</v>
      </c>
      <c r="I243" s="5" t="s">
        <v>28</v>
      </c>
      <c r="J243" s="3" t="s">
        <v>29</v>
      </c>
      <c r="K243" s="4">
        <v>216</v>
      </c>
      <c r="L243" s="3" t="s">
        <v>21</v>
      </c>
      <c r="M243" s="2" t="s">
        <v>45</v>
      </c>
      <c r="N243" s="2" t="s">
        <v>82</v>
      </c>
      <c r="O243" s="2" t="s">
        <v>21</v>
      </c>
      <c r="P243" s="6">
        <f>T_CURSOS[[#This Row],[IMPORTE PROFESOR]]+T_CURSOS[[#This Row],[IMPORTE COMERCIAL]]</f>
        <v>576</v>
      </c>
      <c r="Q243" s="6">
        <f>T_CURSOS[[#This Row],[IMPORTE CLIENTE]]-T_CURSOS[[#This Row],[GASTO]]</f>
        <v>1224</v>
      </c>
      <c r="R243" s="7">
        <f>T_CURSOS[[#This Row],[BENEFICIO]]/T_CURSOS[[#This Row],[IMPORTE CLIENTE]]</f>
        <v>0.68</v>
      </c>
    </row>
    <row r="244" spans="1:18" x14ac:dyDescent="0.2">
      <c r="A244" s="2" t="s">
        <v>296</v>
      </c>
      <c r="B244" s="3" t="s">
        <v>25</v>
      </c>
      <c r="C244" s="3">
        <v>40</v>
      </c>
      <c r="D244" s="3" t="s">
        <v>34</v>
      </c>
      <c r="E244" s="4">
        <v>1600</v>
      </c>
      <c r="F244" s="3" t="s">
        <v>44</v>
      </c>
      <c r="G244" s="4">
        <v>480</v>
      </c>
      <c r="H244" s="5">
        <v>44468</v>
      </c>
      <c r="I244" s="5" t="s">
        <v>19</v>
      </c>
      <c r="J244" s="3" t="s">
        <v>36</v>
      </c>
      <c r="K244" s="4">
        <v>160</v>
      </c>
      <c r="L244" s="3" t="s">
        <v>41</v>
      </c>
      <c r="M244" s="2" t="s">
        <v>22</v>
      </c>
      <c r="N244" s="2" t="s">
        <v>101</v>
      </c>
      <c r="O244" s="2" t="s">
        <v>21</v>
      </c>
      <c r="P244" s="6">
        <f>T_CURSOS[[#This Row],[IMPORTE PROFESOR]]+T_CURSOS[[#This Row],[IMPORTE COMERCIAL]]</f>
        <v>640</v>
      </c>
      <c r="Q244" s="6">
        <f>T_CURSOS[[#This Row],[IMPORTE CLIENTE]]-T_CURSOS[[#This Row],[GASTO]]</f>
        <v>960</v>
      </c>
      <c r="R244" s="7">
        <f>T_CURSOS[[#This Row],[BENEFICIO]]/T_CURSOS[[#This Row],[IMPORTE CLIENTE]]</f>
        <v>0.6</v>
      </c>
    </row>
    <row r="245" spans="1:18" x14ac:dyDescent="0.2">
      <c r="A245" s="2" t="s">
        <v>297</v>
      </c>
      <c r="B245" s="3" t="s">
        <v>25</v>
      </c>
      <c r="C245" s="3">
        <v>35</v>
      </c>
      <c r="D245" s="3" t="s">
        <v>38</v>
      </c>
      <c r="E245" s="4">
        <v>1400</v>
      </c>
      <c r="F245" s="3" t="s">
        <v>27</v>
      </c>
      <c r="G245" s="4">
        <v>420</v>
      </c>
      <c r="H245" s="5">
        <v>43955</v>
      </c>
      <c r="I245" s="5" t="s">
        <v>19</v>
      </c>
      <c r="J245" s="3" t="s">
        <v>40</v>
      </c>
      <c r="K245" s="4">
        <v>140</v>
      </c>
      <c r="L245" s="3" t="s">
        <v>21</v>
      </c>
      <c r="M245" s="2" t="s">
        <v>30</v>
      </c>
      <c r="N245" s="2" t="s">
        <v>104</v>
      </c>
      <c r="O245" s="2" t="s">
        <v>21</v>
      </c>
      <c r="P245" s="6">
        <f>T_CURSOS[[#This Row],[IMPORTE PROFESOR]]+T_CURSOS[[#This Row],[IMPORTE COMERCIAL]]</f>
        <v>560</v>
      </c>
      <c r="Q245" s="6">
        <f>T_CURSOS[[#This Row],[IMPORTE CLIENTE]]-T_CURSOS[[#This Row],[GASTO]]</f>
        <v>840</v>
      </c>
      <c r="R245" s="7">
        <f>T_CURSOS[[#This Row],[BENEFICIO]]/T_CURSOS[[#This Row],[IMPORTE CLIENTE]]</f>
        <v>0.6</v>
      </c>
    </row>
    <row r="246" spans="1:18" x14ac:dyDescent="0.2">
      <c r="A246" s="2" t="s">
        <v>298</v>
      </c>
      <c r="B246" s="3" t="s">
        <v>16</v>
      </c>
      <c r="C246" s="3">
        <v>45</v>
      </c>
      <c r="D246" s="3" t="s">
        <v>43</v>
      </c>
      <c r="E246" s="4">
        <v>1800</v>
      </c>
      <c r="F246" s="3" t="s">
        <v>35</v>
      </c>
      <c r="G246" s="4">
        <v>540</v>
      </c>
      <c r="H246" s="5">
        <v>44196</v>
      </c>
      <c r="I246" s="5" t="s">
        <v>19</v>
      </c>
      <c r="J246" s="3" t="s">
        <v>29</v>
      </c>
      <c r="K246" s="4">
        <v>180</v>
      </c>
      <c r="L246" s="3" t="s">
        <v>21</v>
      </c>
      <c r="M246" s="2" t="s">
        <v>45</v>
      </c>
      <c r="N246" s="2" t="s">
        <v>82</v>
      </c>
      <c r="O246" s="2" t="s">
        <v>21</v>
      </c>
      <c r="P246" s="6">
        <f>T_CURSOS[[#This Row],[IMPORTE PROFESOR]]+T_CURSOS[[#This Row],[IMPORTE COMERCIAL]]</f>
        <v>720</v>
      </c>
      <c r="Q246" s="6">
        <f>T_CURSOS[[#This Row],[IMPORTE CLIENTE]]-T_CURSOS[[#This Row],[GASTO]]</f>
        <v>1080</v>
      </c>
      <c r="R246" s="7">
        <f>T_CURSOS[[#This Row],[BENEFICIO]]/T_CURSOS[[#This Row],[IMPORTE CLIENTE]]</f>
        <v>0.6</v>
      </c>
    </row>
    <row r="247" spans="1:18" x14ac:dyDescent="0.2">
      <c r="A247" s="2" t="s">
        <v>299</v>
      </c>
      <c r="B247" s="3" t="s">
        <v>16</v>
      </c>
      <c r="C247" s="3">
        <v>18</v>
      </c>
      <c r="D247" s="3" t="s">
        <v>38</v>
      </c>
      <c r="E247" s="4">
        <v>720</v>
      </c>
      <c r="F247" s="3" t="s">
        <v>39</v>
      </c>
      <c r="G247" s="4">
        <v>216</v>
      </c>
      <c r="H247" s="5">
        <v>43886</v>
      </c>
      <c r="I247" s="5" t="s">
        <v>19</v>
      </c>
      <c r="J247" s="3" t="s">
        <v>36</v>
      </c>
      <c r="K247" s="4">
        <v>72</v>
      </c>
      <c r="L247" s="3" t="s">
        <v>21</v>
      </c>
      <c r="M247" s="2" t="s">
        <v>30</v>
      </c>
      <c r="N247" s="2" t="s">
        <v>104</v>
      </c>
      <c r="O247" s="2" t="s">
        <v>21</v>
      </c>
      <c r="P247" s="6">
        <f>T_CURSOS[[#This Row],[IMPORTE PROFESOR]]+T_CURSOS[[#This Row],[IMPORTE COMERCIAL]]</f>
        <v>288</v>
      </c>
      <c r="Q247" s="6">
        <f>T_CURSOS[[#This Row],[IMPORTE CLIENTE]]-T_CURSOS[[#This Row],[GASTO]]</f>
        <v>432</v>
      </c>
      <c r="R247" s="7">
        <f>T_CURSOS[[#This Row],[BENEFICIO]]/T_CURSOS[[#This Row],[IMPORTE CLIENTE]]</f>
        <v>0.6</v>
      </c>
    </row>
    <row r="248" spans="1:18" x14ac:dyDescent="0.2">
      <c r="A248" s="2" t="s">
        <v>300</v>
      </c>
      <c r="B248" s="3" t="s">
        <v>33</v>
      </c>
      <c r="C248" s="3">
        <v>10</v>
      </c>
      <c r="D248" s="3" t="s">
        <v>34</v>
      </c>
      <c r="E248" s="4">
        <v>300</v>
      </c>
      <c r="F248" s="3" t="s">
        <v>44</v>
      </c>
      <c r="G248" s="4">
        <v>120</v>
      </c>
      <c r="H248" s="5">
        <v>44408</v>
      </c>
      <c r="I248" s="5" t="s">
        <v>28</v>
      </c>
      <c r="J248" s="3" t="s">
        <v>40</v>
      </c>
      <c r="K248" s="4">
        <v>24</v>
      </c>
      <c r="L248" s="3" t="s">
        <v>21</v>
      </c>
      <c r="M248" s="2" t="s">
        <v>22</v>
      </c>
      <c r="N248" s="2" t="s">
        <v>101</v>
      </c>
      <c r="O248" s="2" t="s">
        <v>21</v>
      </c>
      <c r="P248" s="6">
        <f>T_CURSOS[[#This Row],[IMPORTE PROFESOR]]+T_CURSOS[[#This Row],[IMPORTE COMERCIAL]]</f>
        <v>144</v>
      </c>
      <c r="Q248" s="6">
        <f>T_CURSOS[[#This Row],[IMPORTE CLIENTE]]-T_CURSOS[[#This Row],[GASTO]]</f>
        <v>156</v>
      </c>
      <c r="R248" s="7">
        <f>T_CURSOS[[#This Row],[BENEFICIO]]/T_CURSOS[[#This Row],[IMPORTE CLIENTE]]</f>
        <v>0.52</v>
      </c>
    </row>
    <row r="249" spans="1:18" x14ac:dyDescent="0.2">
      <c r="A249" s="2" t="s">
        <v>301</v>
      </c>
      <c r="B249" s="3" t="s">
        <v>33</v>
      </c>
      <c r="C249" s="3">
        <v>12</v>
      </c>
      <c r="D249" s="3" t="s">
        <v>38</v>
      </c>
      <c r="E249" s="4">
        <v>360</v>
      </c>
      <c r="F249" s="3" t="s">
        <v>27</v>
      </c>
      <c r="G249" s="4">
        <v>144</v>
      </c>
      <c r="H249" s="5">
        <v>43981</v>
      </c>
      <c r="I249" s="5" t="s">
        <v>28</v>
      </c>
      <c r="J249" s="3" t="s">
        <v>20</v>
      </c>
      <c r="K249" s="4">
        <v>28.8</v>
      </c>
      <c r="L249" s="3" t="s">
        <v>21</v>
      </c>
      <c r="M249" s="2" t="s">
        <v>30</v>
      </c>
      <c r="N249" s="2" t="s">
        <v>104</v>
      </c>
      <c r="O249" s="2" t="s">
        <v>21</v>
      </c>
      <c r="P249" s="6">
        <f>T_CURSOS[[#This Row],[IMPORTE PROFESOR]]+T_CURSOS[[#This Row],[IMPORTE COMERCIAL]]</f>
        <v>172.8</v>
      </c>
      <c r="Q249" s="6">
        <f>T_CURSOS[[#This Row],[IMPORTE CLIENTE]]-T_CURSOS[[#This Row],[GASTO]]</f>
        <v>187.2</v>
      </c>
      <c r="R249" s="7">
        <f>T_CURSOS[[#This Row],[BENEFICIO]]/T_CURSOS[[#This Row],[IMPORTE CLIENTE]]</f>
        <v>0.52</v>
      </c>
    </row>
    <row r="250" spans="1:18" x14ac:dyDescent="0.2">
      <c r="A250" s="2" t="s">
        <v>302</v>
      </c>
      <c r="B250" s="3" t="s">
        <v>25</v>
      </c>
      <c r="C250" s="3">
        <v>15</v>
      </c>
      <c r="D250" s="3" t="s">
        <v>51</v>
      </c>
      <c r="E250" s="4">
        <v>450</v>
      </c>
      <c r="F250" s="3" t="s">
        <v>35</v>
      </c>
      <c r="G250" s="4">
        <v>180</v>
      </c>
      <c r="H250" s="5">
        <v>44209</v>
      </c>
      <c r="I250" s="5" t="s">
        <v>28</v>
      </c>
      <c r="J250" s="3" t="s">
        <v>29</v>
      </c>
      <c r="K250" s="4">
        <v>36</v>
      </c>
      <c r="L250" s="3" t="s">
        <v>21</v>
      </c>
      <c r="M250" s="2" t="s">
        <v>45</v>
      </c>
      <c r="N250" s="2" t="s">
        <v>82</v>
      </c>
      <c r="O250" s="2" t="s">
        <v>21</v>
      </c>
      <c r="P250" s="6">
        <f>T_CURSOS[[#This Row],[IMPORTE PROFESOR]]+T_CURSOS[[#This Row],[IMPORTE COMERCIAL]]</f>
        <v>216</v>
      </c>
      <c r="Q250" s="6">
        <f>T_CURSOS[[#This Row],[IMPORTE CLIENTE]]-T_CURSOS[[#This Row],[GASTO]]</f>
        <v>234</v>
      </c>
      <c r="R250" s="7">
        <f>T_CURSOS[[#This Row],[BENEFICIO]]/T_CURSOS[[#This Row],[IMPORTE CLIENTE]]</f>
        <v>0.52</v>
      </c>
    </row>
    <row r="251" spans="1:18" x14ac:dyDescent="0.2">
      <c r="A251" s="2" t="s">
        <v>303</v>
      </c>
      <c r="B251" s="3" t="s">
        <v>25</v>
      </c>
      <c r="C251" s="3">
        <v>25</v>
      </c>
      <c r="D251" s="3" t="s">
        <v>17</v>
      </c>
      <c r="E251" s="4">
        <v>625</v>
      </c>
      <c r="F251" s="3" t="s">
        <v>18</v>
      </c>
      <c r="G251" s="4">
        <v>300</v>
      </c>
      <c r="H251" s="5">
        <v>43811</v>
      </c>
      <c r="I251" s="5" t="s">
        <v>28</v>
      </c>
      <c r="J251" s="3" t="s">
        <v>36</v>
      </c>
      <c r="K251" s="4">
        <v>43.75</v>
      </c>
      <c r="L251" s="3" t="s">
        <v>21</v>
      </c>
      <c r="M251" s="2" t="s">
        <v>22</v>
      </c>
      <c r="N251" s="2" t="s">
        <v>101</v>
      </c>
      <c r="O251" s="2" t="s">
        <v>21</v>
      </c>
      <c r="P251" s="6">
        <f>T_CURSOS[[#This Row],[IMPORTE PROFESOR]]+T_CURSOS[[#This Row],[IMPORTE COMERCIAL]]</f>
        <v>343.75</v>
      </c>
      <c r="Q251" s="6">
        <f>T_CURSOS[[#This Row],[IMPORTE CLIENTE]]-T_CURSOS[[#This Row],[GASTO]]</f>
        <v>281.25</v>
      </c>
      <c r="R251" s="7">
        <f>T_CURSOS[[#This Row],[BENEFICIO]]/T_CURSOS[[#This Row],[IMPORTE CLIENTE]]</f>
        <v>0.45</v>
      </c>
    </row>
    <row r="252" spans="1:18" x14ac:dyDescent="0.2">
      <c r="A252" s="2" t="s">
        <v>304</v>
      </c>
      <c r="B252" s="3" t="s">
        <v>25</v>
      </c>
      <c r="C252" s="3">
        <v>15</v>
      </c>
      <c r="D252" s="3" t="s">
        <v>26</v>
      </c>
      <c r="E252" s="4">
        <v>375</v>
      </c>
      <c r="F252" s="3" t="s">
        <v>27</v>
      </c>
      <c r="G252" s="4">
        <v>180</v>
      </c>
      <c r="H252" s="5">
        <v>43825</v>
      </c>
      <c r="I252" s="5" t="s">
        <v>57</v>
      </c>
      <c r="J252" s="3" t="s">
        <v>20</v>
      </c>
      <c r="K252" s="4">
        <v>26.25</v>
      </c>
      <c r="L252" s="3" t="s">
        <v>21</v>
      </c>
      <c r="M252" s="2" t="s">
        <v>30</v>
      </c>
      <c r="N252" s="2" t="s">
        <v>104</v>
      </c>
      <c r="O252" s="2" t="s">
        <v>21</v>
      </c>
      <c r="P252" s="6">
        <f>T_CURSOS[[#This Row],[IMPORTE PROFESOR]]+T_CURSOS[[#This Row],[IMPORTE COMERCIAL]]</f>
        <v>206.25</v>
      </c>
      <c r="Q252" s="6">
        <f>T_CURSOS[[#This Row],[IMPORTE CLIENTE]]-T_CURSOS[[#This Row],[GASTO]]</f>
        <v>168.75</v>
      </c>
      <c r="R252" s="7">
        <f>T_CURSOS[[#This Row],[BENEFICIO]]/T_CURSOS[[#This Row],[IMPORTE CLIENTE]]</f>
        <v>0.45</v>
      </c>
    </row>
    <row r="253" spans="1:18" x14ac:dyDescent="0.2">
      <c r="A253" s="2" t="s">
        <v>305</v>
      </c>
      <c r="B253" s="3" t="s">
        <v>16</v>
      </c>
      <c r="C253" s="3">
        <v>10</v>
      </c>
      <c r="D253" s="3" t="s">
        <v>34</v>
      </c>
      <c r="E253" s="4">
        <v>250</v>
      </c>
      <c r="F253" s="3" t="s">
        <v>35</v>
      </c>
      <c r="G253" s="4">
        <v>120</v>
      </c>
      <c r="H253" s="5">
        <v>44271</v>
      </c>
      <c r="I253" s="5" t="s">
        <v>57</v>
      </c>
      <c r="J253" s="3" t="s">
        <v>29</v>
      </c>
      <c r="K253" s="4">
        <v>17.5</v>
      </c>
      <c r="L253" s="3" t="s">
        <v>21</v>
      </c>
      <c r="M253" s="2" t="s">
        <v>22</v>
      </c>
      <c r="N253" s="2" t="s">
        <v>101</v>
      </c>
      <c r="O253" s="2" t="s">
        <v>21</v>
      </c>
      <c r="P253" s="6">
        <f>T_CURSOS[[#This Row],[IMPORTE PROFESOR]]+T_CURSOS[[#This Row],[IMPORTE COMERCIAL]]</f>
        <v>137.5</v>
      </c>
      <c r="Q253" s="6">
        <f>T_CURSOS[[#This Row],[IMPORTE CLIENTE]]-T_CURSOS[[#This Row],[GASTO]]</f>
        <v>112.5</v>
      </c>
      <c r="R253" s="7">
        <f>T_CURSOS[[#This Row],[BENEFICIO]]/T_CURSOS[[#This Row],[IMPORTE CLIENTE]]</f>
        <v>0.45</v>
      </c>
    </row>
    <row r="254" spans="1:18" x14ac:dyDescent="0.2">
      <c r="A254" s="2" t="s">
        <v>306</v>
      </c>
      <c r="B254" s="3" t="s">
        <v>16</v>
      </c>
      <c r="C254" s="3">
        <v>12</v>
      </c>
      <c r="D254" s="3" t="s">
        <v>38</v>
      </c>
      <c r="E254" s="4">
        <v>300</v>
      </c>
      <c r="F254" s="3" t="s">
        <v>39</v>
      </c>
      <c r="G254" s="4">
        <v>144</v>
      </c>
      <c r="H254" s="5">
        <v>44376</v>
      </c>
      <c r="I254" s="5" t="s">
        <v>57</v>
      </c>
      <c r="J254" s="3" t="s">
        <v>36</v>
      </c>
      <c r="K254" s="4">
        <v>21</v>
      </c>
      <c r="L254" s="3" t="s">
        <v>21</v>
      </c>
      <c r="M254" s="2" t="s">
        <v>30</v>
      </c>
      <c r="N254" s="2" t="s">
        <v>104</v>
      </c>
      <c r="O254" s="2" t="s">
        <v>21</v>
      </c>
      <c r="P254" s="6">
        <f>T_CURSOS[[#This Row],[IMPORTE PROFESOR]]+T_CURSOS[[#This Row],[IMPORTE COMERCIAL]]</f>
        <v>165</v>
      </c>
      <c r="Q254" s="6">
        <f>T_CURSOS[[#This Row],[IMPORTE CLIENTE]]-T_CURSOS[[#This Row],[GASTO]]</f>
        <v>135</v>
      </c>
      <c r="R254" s="7">
        <f>T_CURSOS[[#This Row],[BENEFICIO]]/T_CURSOS[[#This Row],[IMPORTE CLIENTE]]</f>
        <v>0.45</v>
      </c>
    </row>
    <row r="255" spans="1:18" x14ac:dyDescent="0.2">
      <c r="A255" s="2" t="s">
        <v>307</v>
      </c>
      <c r="B255" s="3" t="s">
        <v>16</v>
      </c>
      <c r="C255" s="3">
        <v>15</v>
      </c>
      <c r="D255" s="3" t="s">
        <v>43</v>
      </c>
      <c r="E255" s="4">
        <v>450</v>
      </c>
      <c r="F255" s="3" t="s">
        <v>44</v>
      </c>
      <c r="G255" s="4">
        <v>180</v>
      </c>
      <c r="H255" s="5">
        <v>43781</v>
      </c>
      <c r="I255" s="5" t="s">
        <v>28</v>
      </c>
      <c r="J255" s="3" t="s">
        <v>40</v>
      </c>
      <c r="K255" s="4">
        <v>36</v>
      </c>
      <c r="L255" s="3" t="s">
        <v>21</v>
      </c>
      <c r="M255" s="2" t="s">
        <v>45</v>
      </c>
      <c r="N255" s="2" t="s">
        <v>82</v>
      </c>
      <c r="O255" s="2" t="s">
        <v>21</v>
      </c>
      <c r="P255" s="6">
        <f>T_CURSOS[[#This Row],[IMPORTE PROFESOR]]+T_CURSOS[[#This Row],[IMPORTE COMERCIAL]]</f>
        <v>216</v>
      </c>
      <c r="Q255" s="6">
        <f>T_CURSOS[[#This Row],[IMPORTE CLIENTE]]-T_CURSOS[[#This Row],[GASTO]]</f>
        <v>234</v>
      </c>
      <c r="R255" s="7">
        <f>T_CURSOS[[#This Row],[BENEFICIO]]/T_CURSOS[[#This Row],[IMPORTE CLIENTE]]</f>
        <v>0.52</v>
      </c>
    </row>
    <row r="256" spans="1:18" x14ac:dyDescent="0.2">
      <c r="A256" s="2" t="s">
        <v>308</v>
      </c>
      <c r="B256" s="3" t="s">
        <v>53</v>
      </c>
      <c r="C256" s="3">
        <v>25</v>
      </c>
      <c r="D256" s="3" t="s">
        <v>38</v>
      </c>
      <c r="E256" s="4">
        <v>1000</v>
      </c>
      <c r="F256" s="3" t="s">
        <v>27</v>
      </c>
      <c r="G256" s="4">
        <v>300</v>
      </c>
      <c r="H256" s="5">
        <v>44461</v>
      </c>
      <c r="I256" s="5" t="s">
        <v>28</v>
      </c>
      <c r="J256" s="3" t="s">
        <v>29</v>
      </c>
      <c r="K256" s="4">
        <v>100</v>
      </c>
      <c r="L256" s="3" t="s">
        <v>21</v>
      </c>
      <c r="M256" s="2" t="s">
        <v>30</v>
      </c>
      <c r="N256" s="2" t="s">
        <v>104</v>
      </c>
      <c r="O256" s="2" t="s">
        <v>21</v>
      </c>
      <c r="P256" s="6">
        <f>T_CURSOS[[#This Row],[IMPORTE PROFESOR]]+T_CURSOS[[#This Row],[IMPORTE COMERCIAL]]</f>
        <v>400</v>
      </c>
      <c r="Q256" s="6">
        <f>T_CURSOS[[#This Row],[IMPORTE CLIENTE]]-T_CURSOS[[#This Row],[GASTO]]</f>
        <v>600</v>
      </c>
      <c r="R256" s="7">
        <f>T_CURSOS[[#This Row],[BENEFICIO]]/T_CURSOS[[#This Row],[IMPORTE CLIENTE]]</f>
        <v>0.6</v>
      </c>
    </row>
    <row r="257" spans="1:18" x14ac:dyDescent="0.2">
      <c r="A257" s="2" t="s">
        <v>309</v>
      </c>
      <c r="B257" s="3" t="s">
        <v>63</v>
      </c>
      <c r="C257" s="3">
        <v>15</v>
      </c>
      <c r="D257" s="3" t="s">
        <v>34</v>
      </c>
      <c r="E257" s="4">
        <v>375</v>
      </c>
      <c r="F257" s="3" t="s">
        <v>35</v>
      </c>
      <c r="G257" s="4">
        <v>180</v>
      </c>
      <c r="H257" s="5">
        <v>44384</v>
      </c>
      <c r="I257" s="5" t="s">
        <v>28</v>
      </c>
      <c r="J257" s="3" t="s">
        <v>36</v>
      </c>
      <c r="K257" s="4">
        <v>26.25</v>
      </c>
      <c r="L257" s="3" t="s">
        <v>21</v>
      </c>
      <c r="M257" s="2" t="s">
        <v>22</v>
      </c>
      <c r="N257" s="2" t="s">
        <v>101</v>
      </c>
      <c r="O257" s="2" t="s">
        <v>21</v>
      </c>
      <c r="P257" s="6">
        <f>T_CURSOS[[#This Row],[IMPORTE PROFESOR]]+T_CURSOS[[#This Row],[IMPORTE COMERCIAL]]</f>
        <v>206.25</v>
      </c>
      <c r="Q257" s="6">
        <f>T_CURSOS[[#This Row],[IMPORTE CLIENTE]]-T_CURSOS[[#This Row],[GASTO]]</f>
        <v>168.75</v>
      </c>
      <c r="R257" s="7">
        <f>T_CURSOS[[#This Row],[BENEFICIO]]/T_CURSOS[[#This Row],[IMPORTE CLIENTE]]</f>
        <v>0.45</v>
      </c>
    </row>
    <row r="258" spans="1:18" x14ac:dyDescent="0.2">
      <c r="A258" s="2" t="s">
        <v>310</v>
      </c>
      <c r="B258" s="3" t="s">
        <v>65</v>
      </c>
      <c r="C258" s="3">
        <v>20</v>
      </c>
      <c r="D258" s="3" t="s">
        <v>38</v>
      </c>
      <c r="E258" s="4">
        <v>500</v>
      </c>
      <c r="F258" s="3" t="s">
        <v>39</v>
      </c>
      <c r="G258" s="4">
        <v>240</v>
      </c>
      <c r="H258" s="5">
        <v>44073</v>
      </c>
      <c r="I258" s="5" t="s">
        <v>28</v>
      </c>
      <c r="J258" s="3" t="s">
        <v>40</v>
      </c>
      <c r="K258" s="4">
        <v>35</v>
      </c>
      <c r="L258" s="3" t="s">
        <v>41</v>
      </c>
      <c r="M258" s="2" t="s">
        <v>30</v>
      </c>
      <c r="N258" s="2" t="s">
        <v>104</v>
      </c>
      <c r="O258" s="2" t="s">
        <v>21</v>
      </c>
      <c r="P258" s="6">
        <f>T_CURSOS[[#This Row],[IMPORTE PROFESOR]]+T_CURSOS[[#This Row],[IMPORTE COMERCIAL]]</f>
        <v>275</v>
      </c>
      <c r="Q258" s="6">
        <f>T_CURSOS[[#This Row],[IMPORTE CLIENTE]]-T_CURSOS[[#This Row],[GASTO]]</f>
        <v>225</v>
      </c>
      <c r="R258" s="7">
        <f>T_CURSOS[[#This Row],[BENEFICIO]]/T_CURSOS[[#This Row],[IMPORTE CLIENTE]]</f>
        <v>0.45</v>
      </c>
    </row>
    <row r="259" spans="1:18" x14ac:dyDescent="0.2">
      <c r="A259" s="2" t="s">
        <v>311</v>
      </c>
      <c r="B259" s="3" t="s">
        <v>65</v>
      </c>
      <c r="C259" s="3">
        <v>20</v>
      </c>
      <c r="D259" s="3" t="s">
        <v>51</v>
      </c>
      <c r="E259" s="4">
        <v>500</v>
      </c>
      <c r="F259" s="3" t="s">
        <v>18</v>
      </c>
      <c r="G259" s="4">
        <v>240</v>
      </c>
      <c r="H259" s="5">
        <v>44323</v>
      </c>
      <c r="I259" s="5" t="s">
        <v>57</v>
      </c>
      <c r="J259" s="3" t="s">
        <v>20</v>
      </c>
      <c r="K259" s="4">
        <v>35</v>
      </c>
      <c r="L259" s="3" t="s">
        <v>41</v>
      </c>
      <c r="M259" s="2" t="s">
        <v>45</v>
      </c>
      <c r="N259" s="2" t="s">
        <v>82</v>
      </c>
      <c r="O259" s="2" t="s">
        <v>21</v>
      </c>
      <c r="P259" s="6">
        <f>T_CURSOS[[#This Row],[IMPORTE PROFESOR]]+T_CURSOS[[#This Row],[IMPORTE COMERCIAL]]</f>
        <v>275</v>
      </c>
      <c r="Q259" s="6">
        <f>T_CURSOS[[#This Row],[IMPORTE CLIENTE]]-T_CURSOS[[#This Row],[GASTO]]</f>
        <v>225</v>
      </c>
      <c r="R259" s="7">
        <f>T_CURSOS[[#This Row],[BENEFICIO]]/T_CURSOS[[#This Row],[IMPORTE CLIENTE]]</f>
        <v>0.45</v>
      </c>
    </row>
    <row r="260" spans="1:18" x14ac:dyDescent="0.2">
      <c r="A260" s="2" t="s">
        <v>312</v>
      </c>
      <c r="B260" s="3" t="s">
        <v>65</v>
      </c>
      <c r="C260" s="3">
        <v>30</v>
      </c>
      <c r="D260" s="3" t="s">
        <v>34</v>
      </c>
      <c r="E260" s="4">
        <v>900</v>
      </c>
      <c r="F260" s="3" t="s">
        <v>27</v>
      </c>
      <c r="G260" s="4">
        <v>360</v>
      </c>
      <c r="H260" s="5">
        <v>44488</v>
      </c>
      <c r="I260" s="5" t="s">
        <v>57</v>
      </c>
      <c r="J260" s="3" t="s">
        <v>29</v>
      </c>
      <c r="K260" s="4">
        <v>72</v>
      </c>
      <c r="L260" s="3" t="s">
        <v>41</v>
      </c>
      <c r="M260" s="2" t="s">
        <v>22</v>
      </c>
      <c r="N260" s="2" t="s">
        <v>101</v>
      </c>
      <c r="O260" s="2" t="s">
        <v>21</v>
      </c>
      <c r="P260" s="6">
        <f>T_CURSOS[[#This Row],[IMPORTE PROFESOR]]+T_CURSOS[[#This Row],[IMPORTE COMERCIAL]]</f>
        <v>432</v>
      </c>
      <c r="Q260" s="6">
        <f>T_CURSOS[[#This Row],[IMPORTE CLIENTE]]-T_CURSOS[[#This Row],[GASTO]]</f>
        <v>468</v>
      </c>
      <c r="R260" s="7">
        <f>T_CURSOS[[#This Row],[BENEFICIO]]/T_CURSOS[[#This Row],[IMPORTE CLIENTE]]</f>
        <v>0.52</v>
      </c>
    </row>
    <row r="261" spans="1:18" x14ac:dyDescent="0.2">
      <c r="A261" s="2" t="s">
        <v>313</v>
      </c>
      <c r="B261" s="3" t="s">
        <v>33</v>
      </c>
      <c r="C261" s="3">
        <v>35</v>
      </c>
      <c r="D261" s="3" t="s">
        <v>56</v>
      </c>
      <c r="E261" s="4">
        <v>1050</v>
      </c>
      <c r="F261" s="3" t="s">
        <v>35</v>
      </c>
      <c r="G261" s="4">
        <v>420</v>
      </c>
      <c r="H261" s="5">
        <v>44374</v>
      </c>
      <c r="I261" s="5" t="s">
        <v>57</v>
      </c>
      <c r="J261" s="3" t="s">
        <v>36</v>
      </c>
      <c r="K261" s="4">
        <v>84</v>
      </c>
      <c r="L261" s="3" t="s">
        <v>21</v>
      </c>
      <c r="M261" s="2" t="s">
        <v>22</v>
      </c>
      <c r="N261" s="2" t="s">
        <v>101</v>
      </c>
      <c r="O261" s="2" t="s">
        <v>21</v>
      </c>
      <c r="P261" s="6">
        <f>T_CURSOS[[#This Row],[IMPORTE PROFESOR]]+T_CURSOS[[#This Row],[IMPORTE COMERCIAL]]</f>
        <v>504</v>
      </c>
      <c r="Q261" s="6">
        <f>T_CURSOS[[#This Row],[IMPORTE CLIENTE]]-T_CURSOS[[#This Row],[GASTO]]</f>
        <v>546</v>
      </c>
      <c r="R261" s="7">
        <f>T_CURSOS[[#This Row],[BENEFICIO]]/T_CURSOS[[#This Row],[IMPORTE CLIENTE]]</f>
        <v>0.52</v>
      </c>
    </row>
    <row r="262" spans="1:18" x14ac:dyDescent="0.2">
      <c r="A262" s="2" t="s">
        <v>314</v>
      </c>
      <c r="B262" s="3" t="s">
        <v>33</v>
      </c>
      <c r="C262" s="3">
        <v>40</v>
      </c>
      <c r="D262" s="3" t="s">
        <v>43</v>
      </c>
      <c r="E262" s="4">
        <v>1200</v>
      </c>
      <c r="F262" s="3" t="s">
        <v>39</v>
      </c>
      <c r="G262" s="4">
        <v>480</v>
      </c>
      <c r="H262" s="5">
        <v>43485</v>
      </c>
      <c r="I262" s="5" t="s">
        <v>57</v>
      </c>
      <c r="J262" s="3" t="s">
        <v>20</v>
      </c>
      <c r="K262" s="4">
        <v>96</v>
      </c>
      <c r="L262" s="3" t="s">
        <v>41</v>
      </c>
      <c r="M262" s="2" t="s">
        <v>45</v>
      </c>
      <c r="N262" s="2" t="s">
        <v>82</v>
      </c>
      <c r="O262" s="2" t="s">
        <v>41</v>
      </c>
      <c r="P262" s="6">
        <f>T_CURSOS[[#This Row],[IMPORTE PROFESOR]]+T_CURSOS[[#This Row],[IMPORTE COMERCIAL]]</f>
        <v>576</v>
      </c>
      <c r="Q262" s="6">
        <f>T_CURSOS[[#This Row],[IMPORTE CLIENTE]]-T_CURSOS[[#This Row],[GASTO]]</f>
        <v>624</v>
      </c>
      <c r="R262" s="7">
        <f>T_CURSOS[[#This Row],[BENEFICIO]]/T_CURSOS[[#This Row],[IMPORTE CLIENTE]]</f>
        <v>0.52</v>
      </c>
    </row>
    <row r="263" spans="1:18" x14ac:dyDescent="0.2">
      <c r="A263" s="2" t="s">
        <v>315</v>
      </c>
      <c r="B263" s="3" t="s">
        <v>33</v>
      </c>
      <c r="C263" s="3">
        <v>18</v>
      </c>
      <c r="D263" s="3" t="s">
        <v>51</v>
      </c>
      <c r="E263" s="4">
        <v>450</v>
      </c>
      <c r="F263" s="3" t="s">
        <v>44</v>
      </c>
      <c r="G263" s="4">
        <v>216</v>
      </c>
      <c r="H263" s="5">
        <v>43882</v>
      </c>
      <c r="I263" s="5" t="s">
        <v>57</v>
      </c>
      <c r="J263" s="3" t="s">
        <v>29</v>
      </c>
      <c r="K263" s="4">
        <v>22.5</v>
      </c>
      <c r="L263" s="3" t="s">
        <v>41</v>
      </c>
      <c r="M263" s="2" t="s">
        <v>45</v>
      </c>
      <c r="N263" s="2" t="s">
        <v>82</v>
      </c>
      <c r="O263" s="2" t="s">
        <v>21</v>
      </c>
      <c r="P263" s="6">
        <f>T_CURSOS[[#This Row],[IMPORTE PROFESOR]]+T_CURSOS[[#This Row],[IMPORTE COMERCIAL]]</f>
        <v>238.5</v>
      </c>
      <c r="Q263" s="6">
        <f>T_CURSOS[[#This Row],[IMPORTE CLIENTE]]-T_CURSOS[[#This Row],[GASTO]]</f>
        <v>211.5</v>
      </c>
      <c r="R263" s="7">
        <f>T_CURSOS[[#This Row],[BENEFICIO]]/T_CURSOS[[#This Row],[IMPORTE CLIENTE]]</f>
        <v>0.47</v>
      </c>
    </row>
    <row r="264" spans="1:18" x14ac:dyDescent="0.2">
      <c r="A264" s="2" t="s">
        <v>316</v>
      </c>
      <c r="B264" s="3" t="s">
        <v>33</v>
      </c>
      <c r="C264" s="3">
        <v>10</v>
      </c>
      <c r="D264" s="3" t="s">
        <v>61</v>
      </c>
      <c r="E264" s="4">
        <v>250</v>
      </c>
      <c r="F264" s="3" t="s">
        <v>27</v>
      </c>
      <c r="G264" s="4">
        <v>120</v>
      </c>
      <c r="H264" s="5">
        <v>43892</v>
      </c>
      <c r="I264" s="5" t="s">
        <v>28</v>
      </c>
      <c r="J264" s="3" t="s">
        <v>36</v>
      </c>
      <c r="K264" s="4">
        <v>12.5</v>
      </c>
      <c r="L264" s="3" t="s">
        <v>21</v>
      </c>
      <c r="M264" s="2" t="s">
        <v>22</v>
      </c>
      <c r="N264" s="2" t="s">
        <v>101</v>
      </c>
      <c r="O264" s="2" t="s">
        <v>21</v>
      </c>
      <c r="P264" s="6">
        <f>T_CURSOS[[#This Row],[IMPORTE PROFESOR]]+T_CURSOS[[#This Row],[IMPORTE COMERCIAL]]</f>
        <v>132.5</v>
      </c>
      <c r="Q264" s="6">
        <f>T_CURSOS[[#This Row],[IMPORTE CLIENTE]]-T_CURSOS[[#This Row],[GASTO]]</f>
        <v>117.5</v>
      </c>
      <c r="R264" s="7">
        <f>T_CURSOS[[#This Row],[BENEFICIO]]/T_CURSOS[[#This Row],[IMPORTE CLIENTE]]</f>
        <v>0.47</v>
      </c>
    </row>
    <row r="265" spans="1:18" x14ac:dyDescent="0.2">
      <c r="A265" s="2" t="s">
        <v>317</v>
      </c>
      <c r="B265" s="3" t="s">
        <v>25</v>
      </c>
      <c r="C265" s="3">
        <v>45</v>
      </c>
      <c r="D265" s="3" t="s">
        <v>38</v>
      </c>
      <c r="E265" s="4">
        <v>1125</v>
      </c>
      <c r="F265" s="3" t="s">
        <v>35</v>
      </c>
      <c r="G265" s="4">
        <v>540</v>
      </c>
      <c r="H265" s="5">
        <v>43734</v>
      </c>
      <c r="I265" s="5" t="s">
        <v>57</v>
      </c>
      <c r="J265" s="3" t="s">
        <v>40</v>
      </c>
      <c r="K265" s="4">
        <v>56.25</v>
      </c>
      <c r="L265" s="3" t="s">
        <v>41</v>
      </c>
      <c r="M265" s="2" t="s">
        <v>30</v>
      </c>
      <c r="N265" s="2" t="s">
        <v>104</v>
      </c>
      <c r="O265" s="2" t="s">
        <v>21</v>
      </c>
      <c r="P265" s="6">
        <f>T_CURSOS[[#This Row],[IMPORTE PROFESOR]]+T_CURSOS[[#This Row],[IMPORTE COMERCIAL]]</f>
        <v>596.25</v>
      </c>
      <c r="Q265" s="6">
        <f>T_CURSOS[[#This Row],[IMPORTE CLIENTE]]-T_CURSOS[[#This Row],[GASTO]]</f>
        <v>528.75</v>
      </c>
      <c r="R265" s="7">
        <f>T_CURSOS[[#This Row],[BENEFICIO]]/T_CURSOS[[#This Row],[IMPORTE CLIENTE]]</f>
        <v>0.47</v>
      </c>
    </row>
    <row r="266" spans="1:18" x14ac:dyDescent="0.2">
      <c r="A266" s="2" t="s">
        <v>318</v>
      </c>
      <c r="B266" s="3" t="s">
        <v>25</v>
      </c>
      <c r="C266" s="3">
        <v>25</v>
      </c>
      <c r="D266" s="3" t="s">
        <v>43</v>
      </c>
      <c r="E266" s="4">
        <v>625</v>
      </c>
      <c r="F266" s="3" t="s">
        <v>39</v>
      </c>
      <c r="G266" s="4">
        <v>300</v>
      </c>
      <c r="H266" s="5">
        <v>43818</v>
      </c>
      <c r="I266" s="5" t="s">
        <v>57</v>
      </c>
      <c r="J266" s="3" t="s">
        <v>20</v>
      </c>
      <c r="K266" s="4">
        <v>31.25</v>
      </c>
      <c r="L266" s="3" t="s">
        <v>41</v>
      </c>
      <c r="M266" s="2" t="s">
        <v>45</v>
      </c>
      <c r="N266" s="2" t="s">
        <v>82</v>
      </c>
      <c r="O266" s="2" t="s">
        <v>21</v>
      </c>
      <c r="P266" s="6">
        <f>T_CURSOS[[#This Row],[IMPORTE PROFESOR]]+T_CURSOS[[#This Row],[IMPORTE COMERCIAL]]</f>
        <v>331.25</v>
      </c>
      <c r="Q266" s="6">
        <f>T_CURSOS[[#This Row],[IMPORTE CLIENTE]]-T_CURSOS[[#This Row],[GASTO]]</f>
        <v>293.75</v>
      </c>
      <c r="R266" s="7">
        <f>T_CURSOS[[#This Row],[BENEFICIO]]/T_CURSOS[[#This Row],[IMPORTE CLIENTE]]</f>
        <v>0.47</v>
      </c>
    </row>
    <row r="267" spans="1:18" x14ac:dyDescent="0.2">
      <c r="A267" s="2" t="s">
        <v>319</v>
      </c>
      <c r="B267" s="3" t="s">
        <v>25</v>
      </c>
      <c r="C267" s="3">
        <v>20</v>
      </c>
      <c r="D267" s="3" t="s">
        <v>51</v>
      </c>
      <c r="E267" s="4">
        <v>500</v>
      </c>
      <c r="F267" s="3" t="s">
        <v>18</v>
      </c>
      <c r="G267" s="4">
        <v>240</v>
      </c>
      <c r="H267" s="5">
        <v>44554</v>
      </c>
      <c r="I267" s="5" t="s">
        <v>57</v>
      </c>
      <c r="J267" s="3" t="s">
        <v>29</v>
      </c>
      <c r="K267" s="4">
        <v>25</v>
      </c>
      <c r="L267" s="3" t="s">
        <v>21</v>
      </c>
      <c r="M267" s="2" t="s">
        <v>45</v>
      </c>
      <c r="N267" s="2" t="s">
        <v>82</v>
      </c>
      <c r="O267" s="2" t="s">
        <v>21</v>
      </c>
      <c r="P267" s="6">
        <f>T_CURSOS[[#This Row],[IMPORTE PROFESOR]]+T_CURSOS[[#This Row],[IMPORTE COMERCIAL]]</f>
        <v>265</v>
      </c>
      <c r="Q267" s="6">
        <f>T_CURSOS[[#This Row],[IMPORTE CLIENTE]]-T_CURSOS[[#This Row],[GASTO]]</f>
        <v>235</v>
      </c>
      <c r="R267" s="7">
        <f>T_CURSOS[[#This Row],[BENEFICIO]]/T_CURSOS[[#This Row],[IMPORTE CLIENTE]]</f>
        <v>0.47</v>
      </c>
    </row>
    <row r="268" spans="1:18" x14ac:dyDescent="0.2">
      <c r="A268" s="2" t="s">
        <v>320</v>
      </c>
      <c r="B268" s="3" t="s">
        <v>16</v>
      </c>
      <c r="C268" s="3">
        <v>10</v>
      </c>
      <c r="D268" s="3" t="s">
        <v>34</v>
      </c>
      <c r="E268" s="4">
        <v>750</v>
      </c>
      <c r="F268" s="3" t="s">
        <v>27</v>
      </c>
      <c r="G268" s="4">
        <v>120</v>
      </c>
      <c r="H268" s="5">
        <v>44380</v>
      </c>
      <c r="I268" s="5" t="s">
        <v>28</v>
      </c>
      <c r="J268" s="3" t="s">
        <v>36</v>
      </c>
      <c r="K268" s="4">
        <v>112.5</v>
      </c>
      <c r="L268" s="3" t="s">
        <v>41</v>
      </c>
      <c r="M268" s="2" t="s">
        <v>22</v>
      </c>
      <c r="N268" s="2" t="s">
        <v>101</v>
      </c>
      <c r="O268" s="2" t="s">
        <v>21</v>
      </c>
      <c r="P268" s="6">
        <f>T_CURSOS[[#This Row],[IMPORTE PROFESOR]]+T_CURSOS[[#This Row],[IMPORTE COMERCIAL]]</f>
        <v>232.5</v>
      </c>
      <c r="Q268" s="6">
        <f>T_CURSOS[[#This Row],[IMPORTE CLIENTE]]-T_CURSOS[[#This Row],[GASTO]]</f>
        <v>517.5</v>
      </c>
      <c r="R268" s="7">
        <f>T_CURSOS[[#This Row],[BENEFICIO]]/T_CURSOS[[#This Row],[IMPORTE CLIENTE]]</f>
        <v>0.69</v>
      </c>
    </row>
    <row r="269" spans="1:18" x14ac:dyDescent="0.2">
      <c r="A269" s="2" t="s">
        <v>321</v>
      </c>
      <c r="B269" s="3" t="s">
        <v>16</v>
      </c>
      <c r="C269" s="3">
        <v>12</v>
      </c>
      <c r="D269" s="3" t="s">
        <v>56</v>
      </c>
      <c r="E269" s="4">
        <v>720</v>
      </c>
      <c r="F269" s="3" t="s">
        <v>35</v>
      </c>
      <c r="G269" s="4">
        <v>144</v>
      </c>
      <c r="H269" s="5">
        <v>43997</v>
      </c>
      <c r="I269" s="5" t="s">
        <v>28</v>
      </c>
      <c r="J269" s="3" t="s">
        <v>40</v>
      </c>
      <c r="K269" s="4">
        <v>86.4</v>
      </c>
      <c r="L269" s="3" t="s">
        <v>21</v>
      </c>
      <c r="M269" s="2" t="s">
        <v>22</v>
      </c>
      <c r="N269" s="2" t="s">
        <v>101</v>
      </c>
      <c r="O269" s="2" t="s">
        <v>21</v>
      </c>
      <c r="P269" s="6">
        <f>T_CURSOS[[#This Row],[IMPORTE PROFESOR]]+T_CURSOS[[#This Row],[IMPORTE COMERCIAL]]</f>
        <v>230.4</v>
      </c>
      <c r="Q269" s="6">
        <f>T_CURSOS[[#This Row],[IMPORTE CLIENTE]]-T_CURSOS[[#This Row],[GASTO]]</f>
        <v>489.6</v>
      </c>
      <c r="R269" s="7">
        <f>T_CURSOS[[#This Row],[BENEFICIO]]/T_CURSOS[[#This Row],[IMPORTE CLIENTE]]</f>
        <v>0.68</v>
      </c>
    </row>
    <row r="270" spans="1:18" x14ac:dyDescent="0.2">
      <c r="A270" s="2" t="s">
        <v>322</v>
      </c>
      <c r="B270" s="3" t="s">
        <v>16</v>
      </c>
      <c r="C270" s="3">
        <v>15</v>
      </c>
      <c r="D270" s="3" t="s">
        <v>56</v>
      </c>
      <c r="E270" s="4">
        <v>900</v>
      </c>
      <c r="F270" s="3" t="s">
        <v>39</v>
      </c>
      <c r="G270" s="4">
        <v>180</v>
      </c>
      <c r="H270" s="5">
        <v>43649</v>
      </c>
      <c r="I270" s="5" t="s">
        <v>28</v>
      </c>
      <c r="J270" s="3" t="s">
        <v>29</v>
      </c>
      <c r="K270" s="4">
        <v>108</v>
      </c>
      <c r="L270" s="3" t="s">
        <v>21</v>
      </c>
      <c r="M270" s="2" t="s">
        <v>22</v>
      </c>
      <c r="N270" s="2" t="s">
        <v>73</v>
      </c>
      <c r="O270" s="2" t="s">
        <v>21</v>
      </c>
      <c r="P270" s="6">
        <f>T_CURSOS[[#This Row],[IMPORTE PROFESOR]]+T_CURSOS[[#This Row],[IMPORTE COMERCIAL]]</f>
        <v>288</v>
      </c>
      <c r="Q270" s="6">
        <f>T_CURSOS[[#This Row],[IMPORTE CLIENTE]]-T_CURSOS[[#This Row],[GASTO]]</f>
        <v>612</v>
      </c>
      <c r="R270" s="7">
        <f>T_CURSOS[[#This Row],[BENEFICIO]]/T_CURSOS[[#This Row],[IMPORTE CLIENTE]]</f>
        <v>0.68</v>
      </c>
    </row>
    <row r="271" spans="1:18" x14ac:dyDescent="0.2">
      <c r="A271" s="2" t="s">
        <v>323</v>
      </c>
      <c r="B271" s="3" t="s">
        <v>16</v>
      </c>
      <c r="C271" s="3">
        <v>20</v>
      </c>
      <c r="D271" s="3" t="s">
        <v>51</v>
      </c>
      <c r="E271" s="4">
        <v>500</v>
      </c>
      <c r="F271" s="3" t="s">
        <v>44</v>
      </c>
      <c r="G271" s="4">
        <v>240</v>
      </c>
      <c r="H271" s="5">
        <v>43967</v>
      </c>
      <c r="I271" s="5" t="s">
        <v>28</v>
      </c>
      <c r="J271" s="3" t="s">
        <v>36</v>
      </c>
      <c r="K271" s="4">
        <v>35</v>
      </c>
      <c r="L271" s="3" t="s">
        <v>21</v>
      </c>
      <c r="M271" s="2" t="s">
        <v>45</v>
      </c>
      <c r="N271" s="2" t="s">
        <v>82</v>
      </c>
      <c r="O271" s="2" t="s">
        <v>21</v>
      </c>
      <c r="P271" s="6">
        <f>T_CURSOS[[#This Row],[IMPORTE PROFESOR]]+T_CURSOS[[#This Row],[IMPORTE COMERCIAL]]</f>
        <v>275</v>
      </c>
      <c r="Q271" s="6">
        <f>T_CURSOS[[#This Row],[IMPORTE CLIENTE]]-T_CURSOS[[#This Row],[GASTO]]</f>
        <v>225</v>
      </c>
      <c r="R271" s="7">
        <f>T_CURSOS[[#This Row],[BENEFICIO]]/T_CURSOS[[#This Row],[IMPORTE CLIENTE]]</f>
        <v>0.45</v>
      </c>
    </row>
    <row r="272" spans="1:18" x14ac:dyDescent="0.2">
      <c r="A272" s="2" t="s">
        <v>324</v>
      </c>
      <c r="B272" s="3" t="s">
        <v>25</v>
      </c>
      <c r="C272" s="3">
        <v>25</v>
      </c>
      <c r="D272" s="3" t="s">
        <v>43</v>
      </c>
      <c r="E272" s="4">
        <v>750</v>
      </c>
      <c r="F272" s="3" t="s">
        <v>27</v>
      </c>
      <c r="G272" s="4">
        <v>300</v>
      </c>
      <c r="H272" s="5">
        <v>43933</v>
      </c>
      <c r="I272" s="5" t="s">
        <v>57</v>
      </c>
      <c r="J272" s="3" t="s">
        <v>40</v>
      </c>
      <c r="K272" s="4">
        <v>60</v>
      </c>
      <c r="L272" s="3" t="s">
        <v>21</v>
      </c>
      <c r="M272" s="2" t="s">
        <v>45</v>
      </c>
      <c r="N272" s="2" t="s">
        <v>82</v>
      </c>
      <c r="O272" s="2" t="s">
        <v>21</v>
      </c>
      <c r="P272" s="6">
        <f>T_CURSOS[[#This Row],[IMPORTE PROFESOR]]+T_CURSOS[[#This Row],[IMPORTE COMERCIAL]]</f>
        <v>360</v>
      </c>
      <c r="Q272" s="6">
        <f>T_CURSOS[[#This Row],[IMPORTE CLIENTE]]-T_CURSOS[[#This Row],[GASTO]]</f>
        <v>390</v>
      </c>
      <c r="R272" s="7">
        <f>T_CURSOS[[#This Row],[BENEFICIO]]/T_CURSOS[[#This Row],[IMPORTE CLIENTE]]</f>
        <v>0.52</v>
      </c>
    </row>
    <row r="273" spans="1:18" x14ac:dyDescent="0.2">
      <c r="A273" s="2" t="s">
        <v>325</v>
      </c>
      <c r="B273" s="3" t="s">
        <v>33</v>
      </c>
      <c r="C273" s="3">
        <v>30</v>
      </c>
      <c r="D273" s="3" t="s">
        <v>61</v>
      </c>
      <c r="E273" s="4">
        <v>900</v>
      </c>
      <c r="F273" s="3" t="s">
        <v>35</v>
      </c>
      <c r="G273" s="4">
        <v>360</v>
      </c>
      <c r="H273" s="5">
        <v>44132</v>
      </c>
      <c r="I273" s="5" t="s">
        <v>57</v>
      </c>
      <c r="J273" s="3" t="s">
        <v>20</v>
      </c>
      <c r="K273" s="4">
        <v>72</v>
      </c>
      <c r="L273" s="3" t="s">
        <v>21</v>
      </c>
      <c r="M273" s="2" t="s">
        <v>22</v>
      </c>
      <c r="N273" s="2" t="s">
        <v>73</v>
      </c>
      <c r="O273" s="2" t="s">
        <v>41</v>
      </c>
      <c r="P273" s="6">
        <f>T_CURSOS[[#This Row],[IMPORTE PROFESOR]]+T_CURSOS[[#This Row],[IMPORTE COMERCIAL]]</f>
        <v>432</v>
      </c>
      <c r="Q273" s="6">
        <f>T_CURSOS[[#This Row],[IMPORTE CLIENTE]]-T_CURSOS[[#This Row],[GASTO]]</f>
        <v>468</v>
      </c>
      <c r="R273" s="7">
        <f>T_CURSOS[[#This Row],[BENEFICIO]]/T_CURSOS[[#This Row],[IMPORTE CLIENTE]]</f>
        <v>0.52</v>
      </c>
    </row>
    <row r="274" spans="1:18" x14ac:dyDescent="0.2">
      <c r="A274" s="2" t="s">
        <v>326</v>
      </c>
      <c r="B274" s="3" t="s">
        <v>16</v>
      </c>
      <c r="C274" s="3">
        <v>40</v>
      </c>
      <c r="D274" s="3" t="s">
        <v>61</v>
      </c>
      <c r="E274" s="4">
        <v>1200</v>
      </c>
      <c r="F274" s="3" t="s">
        <v>39</v>
      </c>
      <c r="G274" s="4">
        <v>480</v>
      </c>
      <c r="H274" s="5">
        <v>44297</v>
      </c>
      <c r="I274" s="5" t="s">
        <v>57</v>
      </c>
      <c r="J274" s="3" t="s">
        <v>20</v>
      </c>
      <c r="K274" s="4">
        <v>96</v>
      </c>
      <c r="L274" s="3" t="s">
        <v>21</v>
      </c>
      <c r="M274" s="2" t="s">
        <v>22</v>
      </c>
      <c r="N274" s="2" t="s">
        <v>73</v>
      </c>
      <c r="O274" s="2" t="s">
        <v>21</v>
      </c>
      <c r="P274" s="6">
        <f>T_CURSOS[[#This Row],[IMPORTE PROFESOR]]+T_CURSOS[[#This Row],[IMPORTE COMERCIAL]]</f>
        <v>576</v>
      </c>
      <c r="Q274" s="6">
        <f>T_CURSOS[[#This Row],[IMPORTE CLIENTE]]-T_CURSOS[[#This Row],[GASTO]]</f>
        <v>624</v>
      </c>
      <c r="R274" s="7">
        <f>T_CURSOS[[#This Row],[BENEFICIO]]/T_CURSOS[[#This Row],[IMPORTE CLIENTE]]</f>
        <v>0.52</v>
      </c>
    </row>
    <row r="275" spans="1:18" x14ac:dyDescent="0.2">
      <c r="A275" s="2" t="s">
        <v>327</v>
      </c>
      <c r="B275" s="3" t="s">
        <v>16</v>
      </c>
      <c r="C275" s="3">
        <v>35</v>
      </c>
      <c r="D275" s="3" t="s">
        <v>56</v>
      </c>
      <c r="E275" s="4">
        <v>875</v>
      </c>
      <c r="F275" s="3" t="s">
        <v>44</v>
      </c>
      <c r="G275" s="4">
        <v>420</v>
      </c>
      <c r="H275" s="5">
        <v>44013</v>
      </c>
      <c r="I275" s="5" t="s">
        <v>57</v>
      </c>
      <c r="J275" s="3" t="s">
        <v>29</v>
      </c>
      <c r="K275" s="4">
        <v>43.75</v>
      </c>
      <c r="L275" s="3" t="s">
        <v>21</v>
      </c>
      <c r="M275" s="2" t="s">
        <v>22</v>
      </c>
      <c r="N275" s="2" t="s">
        <v>73</v>
      </c>
      <c r="O275" s="2" t="s">
        <v>21</v>
      </c>
      <c r="P275" s="6">
        <f>T_CURSOS[[#This Row],[IMPORTE PROFESOR]]+T_CURSOS[[#This Row],[IMPORTE COMERCIAL]]</f>
        <v>463.75</v>
      </c>
      <c r="Q275" s="6">
        <f>T_CURSOS[[#This Row],[IMPORTE CLIENTE]]-T_CURSOS[[#This Row],[GASTO]]</f>
        <v>411.25</v>
      </c>
      <c r="R275" s="7">
        <f>T_CURSOS[[#This Row],[BENEFICIO]]/T_CURSOS[[#This Row],[IMPORTE CLIENTE]]</f>
        <v>0.47</v>
      </c>
    </row>
    <row r="276" spans="1:18" x14ac:dyDescent="0.2">
      <c r="A276" s="2" t="s">
        <v>328</v>
      </c>
      <c r="B276" s="3" t="s">
        <v>16</v>
      </c>
      <c r="C276" s="3">
        <v>45</v>
      </c>
      <c r="D276" s="3" t="s">
        <v>43</v>
      </c>
      <c r="E276" s="4">
        <v>1125</v>
      </c>
      <c r="F276" s="3" t="s">
        <v>27</v>
      </c>
      <c r="G276" s="4">
        <v>540</v>
      </c>
      <c r="H276" s="5">
        <v>44030</v>
      </c>
      <c r="I276" s="5" t="s">
        <v>57</v>
      </c>
      <c r="J276" s="3" t="s">
        <v>36</v>
      </c>
      <c r="K276" s="4">
        <v>56.25</v>
      </c>
      <c r="L276" s="3" t="s">
        <v>21</v>
      </c>
      <c r="M276" s="2" t="s">
        <v>45</v>
      </c>
      <c r="N276" s="2" t="s">
        <v>82</v>
      </c>
      <c r="O276" s="2" t="s">
        <v>21</v>
      </c>
      <c r="P276" s="6">
        <f>T_CURSOS[[#This Row],[IMPORTE PROFESOR]]+T_CURSOS[[#This Row],[IMPORTE COMERCIAL]]</f>
        <v>596.25</v>
      </c>
      <c r="Q276" s="6">
        <f>T_CURSOS[[#This Row],[IMPORTE CLIENTE]]-T_CURSOS[[#This Row],[GASTO]]</f>
        <v>528.75</v>
      </c>
      <c r="R276" s="7">
        <f>T_CURSOS[[#This Row],[BENEFICIO]]/T_CURSOS[[#This Row],[IMPORTE CLIENTE]]</f>
        <v>0.47</v>
      </c>
    </row>
    <row r="277" spans="1:18" x14ac:dyDescent="0.2">
      <c r="A277" s="2" t="s">
        <v>329</v>
      </c>
      <c r="B277" s="3" t="s">
        <v>25</v>
      </c>
      <c r="C277" s="3">
        <v>18</v>
      </c>
      <c r="D277" s="3" t="s">
        <v>38</v>
      </c>
      <c r="E277" s="4">
        <v>450</v>
      </c>
      <c r="F277" s="3" t="s">
        <v>35</v>
      </c>
      <c r="G277" s="4">
        <v>216</v>
      </c>
      <c r="H277" s="5">
        <v>44412</v>
      </c>
      <c r="I277" s="5" t="s">
        <v>28</v>
      </c>
      <c r="J277" s="3" t="s">
        <v>40</v>
      </c>
      <c r="K277" s="4">
        <v>22.5</v>
      </c>
      <c r="L277" s="3" t="s">
        <v>21</v>
      </c>
      <c r="M277" s="2" t="s">
        <v>30</v>
      </c>
      <c r="N277" s="2" t="s">
        <v>31</v>
      </c>
      <c r="O277" s="2" t="s">
        <v>21</v>
      </c>
      <c r="P277" s="6">
        <f>T_CURSOS[[#This Row],[IMPORTE PROFESOR]]+T_CURSOS[[#This Row],[IMPORTE COMERCIAL]]</f>
        <v>238.5</v>
      </c>
      <c r="Q277" s="6">
        <f>T_CURSOS[[#This Row],[IMPORTE CLIENTE]]-T_CURSOS[[#This Row],[GASTO]]</f>
        <v>211.5</v>
      </c>
      <c r="R277" s="7">
        <f>T_CURSOS[[#This Row],[BENEFICIO]]/T_CURSOS[[#This Row],[IMPORTE CLIENTE]]</f>
        <v>0.47</v>
      </c>
    </row>
    <row r="278" spans="1:18" x14ac:dyDescent="0.2">
      <c r="A278" s="2" t="s">
        <v>330</v>
      </c>
      <c r="B278" s="3" t="s">
        <v>25</v>
      </c>
      <c r="C278" s="3">
        <v>10</v>
      </c>
      <c r="D278" s="3" t="s">
        <v>43</v>
      </c>
      <c r="E278" s="4">
        <v>250</v>
      </c>
      <c r="F278" s="3" t="s">
        <v>39</v>
      </c>
      <c r="G278" s="4">
        <v>120</v>
      </c>
      <c r="H278" s="5">
        <v>44112</v>
      </c>
      <c r="I278" s="5" t="s">
        <v>19</v>
      </c>
      <c r="J278" s="3" t="s">
        <v>29</v>
      </c>
      <c r="K278" s="4">
        <v>12.5</v>
      </c>
      <c r="L278" s="3" t="s">
        <v>21</v>
      </c>
      <c r="M278" s="2" t="s">
        <v>45</v>
      </c>
      <c r="N278" s="2" t="s">
        <v>82</v>
      </c>
      <c r="O278" s="2" t="s">
        <v>21</v>
      </c>
      <c r="P278" s="6">
        <f>T_CURSOS[[#This Row],[IMPORTE PROFESOR]]+T_CURSOS[[#This Row],[IMPORTE COMERCIAL]]</f>
        <v>132.5</v>
      </c>
      <c r="Q278" s="6">
        <f>T_CURSOS[[#This Row],[IMPORTE CLIENTE]]-T_CURSOS[[#This Row],[GASTO]]</f>
        <v>117.5</v>
      </c>
      <c r="R278" s="7">
        <f>T_CURSOS[[#This Row],[BENEFICIO]]/T_CURSOS[[#This Row],[IMPORTE CLIENTE]]</f>
        <v>0.47</v>
      </c>
    </row>
    <row r="279" spans="1:18" x14ac:dyDescent="0.2">
      <c r="A279" s="2" t="s">
        <v>331</v>
      </c>
      <c r="B279" s="3" t="s">
        <v>25</v>
      </c>
      <c r="C279" s="3">
        <v>12</v>
      </c>
      <c r="D279" s="3" t="s">
        <v>34</v>
      </c>
      <c r="E279" s="4">
        <v>300</v>
      </c>
      <c r="F279" s="3" t="s">
        <v>44</v>
      </c>
      <c r="G279" s="4">
        <v>144</v>
      </c>
      <c r="H279" s="5">
        <v>43802</v>
      </c>
      <c r="I279" s="5" t="s">
        <v>28</v>
      </c>
      <c r="J279" s="3" t="s">
        <v>36</v>
      </c>
      <c r="K279" s="4">
        <v>15</v>
      </c>
      <c r="L279" s="3" t="s">
        <v>21</v>
      </c>
      <c r="M279" s="2" t="s">
        <v>22</v>
      </c>
      <c r="N279" s="2" t="s">
        <v>23</v>
      </c>
      <c r="O279" s="2" t="s">
        <v>21</v>
      </c>
      <c r="P279" s="6">
        <f>T_CURSOS[[#This Row],[IMPORTE PROFESOR]]+T_CURSOS[[#This Row],[IMPORTE COMERCIAL]]</f>
        <v>159</v>
      </c>
      <c r="Q279" s="6">
        <f>T_CURSOS[[#This Row],[IMPORTE CLIENTE]]-T_CURSOS[[#This Row],[GASTO]]</f>
        <v>141</v>
      </c>
      <c r="R279" s="7">
        <f>T_CURSOS[[#This Row],[BENEFICIO]]/T_CURSOS[[#This Row],[IMPORTE CLIENTE]]</f>
        <v>0.47</v>
      </c>
    </row>
    <row r="280" spans="1:18" x14ac:dyDescent="0.2">
      <c r="A280" s="2" t="s">
        <v>332</v>
      </c>
      <c r="B280" s="3" t="s">
        <v>53</v>
      </c>
      <c r="C280" s="3">
        <v>15</v>
      </c>
      <c r="D280" s="3" t="s">
        <v>38</v>
      </c>
      <c r="E280" s="4">
        <v>1125</v>
      </c>
      <c r="F280" s="3" t="s">
        <v>27</v>
      </c>
      <c r="G280" s="4">
        <v>180</v>
      </c>
      <c r="H280" s="5">
        <v>43604</v>
      </c>
      <c r="I280" s="5" t="s">
        <v>19</v>
      </c>
      <c r="J280" s="3" t="s">
        <v>40</v>
      </c>
      <c r="K280" s="4">
        <v>168.75</v>
      </c>
      <c r="L280" s="3" t="s">
        <v>21</v>
      </c>
      <c r="M280" s="2" t="s">
        <v>30</v>
      </c>
      <c r="N280" s="2" t="s">
        <v>31</v>
      </c>
      <c r="O280" s="2" t="s">
        <v>21</v>
      </c>
      <c r="P280" s="6">
        <f>T_CURSOS[[#This Row],[IMPORTE PROFESOR]]+T_CURSOS[[#This Row],[IMPORTE COMERCIAL]]</f>
        <v>348.75</v>
      </c>
      <c r="Q280" s="6">
        <f>T_CURSOS[[#This Row],[IMPORTE CLIENTE]]-T_CURSOS[[#This Row],[GASTO]]</f>
        <v>776.25</v>
      </c>
      <c r="R280" s="7">
        <f>T_CURSOS[[#This Row],[BENEFICIO]]/T_CURSOS[[#This Row],[IMPORTE CLIENTE]]</f>
        <v>0.69</v>
      </c>
    </row>
    <row r="281" spans="1:18" x14ac:dyDescent="0.2">
      <c r="A281" s="2" t="s">
        <v>333</v>
      </c>
      <c r="B281" s="3" t="s">
        <v>55</v>
      </c>
      <c r="C281" s="3">
        <v>25</v>
      </c>
      <c r="D281" s="3" t="s">
        <v>43</v>
      </c>
      <c r="E281" s="4">
        <v>1500</v>
      </c>
      <c r="F281" s="3" t="s">
        <v>35</v>
      </c>
      <c r="G281" s="4">
        <v>300</v>
      </c>
      <c r="H281" s="5">
        <v>44131</v>
      </c>
      <c r="I281" s="5" t="s">
        <v>19</v>
      </c>
      <c r="J281" s="3" t="s">
        <v>20</v>
      </c>
      <c r="K281" s="4">
        <v>180</v>
      </c>
      <c r="L281" s="3" t="s">
        <v>21</v>
      </c>
      <c r="M281" s="2" t="s">
        <v>45</v>
      </c>
      <c r="N281" s="2" t="s">
        <v>82</v>
      </c>
      <c r="O281" s="2" t="s">
        <v>21</v>
      </c>
      <c r="P281" s="6">
        <f>T_CURSOS[[#This Row],[IMPORTE PROFESOR]]+T_CURSOS[[#This Row],[IMPORTE COMERCIAL]]</f>
        <v>480</v>
      </c>
      <c r="Q281" s="6">
        <f>T_CURSOS[[#This Row],[IMPORTE CLIENTE]]-T_CURSOS[[#This Row],[GASTO]]</f>
        <v>1020</v>
      </c>
      <c r="R281" s="7">
        <f>T_CURSOS[[#This Row],[BENEFICIO]]/T_CURSOS[[#This Row],[IMPORTE CLIENTE]]</f>
        <v>0.68</v>
      </c>
    </row>
    <row r="282" spans="1:18" x14ac:dyDescent="0.2">
      <c r="A282" s="2" t="s">
        <v>334</v>
      </c>
      <c r="B282" s="3" t="s">
        <v>65</v>
      </c>
      <c r="C282" s="3">
        <v>15</v>
      </c>
      <c r="D282" s="3" t="s">
        <v>38</v>
      </c>
      <c r="E282" s="4">
        <v>900</v>
      </c>
      <c r="F282" s="3" t="s">
        <v>39</v>
      </c>
      <c r="G282" s="4">
        <v>180</v>
      </c>
      <c r="H282" s="5">
        <v>44064</v>
      </c>
      <c r="I282" s="5" t="s">
        <v>19</v>
      </c>
      <c r="J282" s="3" t="s">
        <v>29</v>
      </c>
      <c r="K282" s="4">
        <v>108</v>
      </c>
      <c r="L282" s="3" t="s">
        <v>41</v>
      </c>
      <c r="M282" s="2" t="s">
        <v>30</v>
      </c>
      <c r="N282" s="2" t="s">
        <v>31</v>
      </c>
      <c r="O282" s="2" t="s">
        <v>21</v>
      </c>
      <c r="P282" s="6">
        <f>T_CURSOS[[#This Row],[IMPORTE PROFESOR]]+T_CURSOS[[#This Row],[IMPORTE COMERCIAL]]</f>
        <v>288</v>
      </c>
      <c r="Q282" s="6">
        <f>T_CURSOS[[#This Row],[IMPORTE CLIENTE]]-T_CURSOS[[#This Row],[GASTO]]</f>
        <v>612</v>
      </c>
      <c r="R282" s="7">
        <f>T_CURSOS[[#This Row],[BENEFICIO]]/T_CURSOS[[#This Row],[IMPORTE CLIENTE]]</f>
        <v>0.68</v>
      </c>
    </row>
    <row r="283" spans="1:18" x14ac:dyDescent="0.2">
      <c r="A283" s="2" t="s">
        <v>335</v>
      </c>
      <c r="B283" s="3" t="s">
        <v>65</v>
      </c>
      <c r="C283" s="3">
        <v>10</v>
      </c>
      <c r="D283" s="3" t="s">
        <v>34</v>
      </c>
      <c r="E283" s="4">
        <v>600</v>
      </c>
      <c r="F283" s="3" t="s">
        <v>18</v>
      </c>
      <c r="G283" s="4">
        <v>120</v>
      </c>
      <c r="H283" s="5">
        <v>44098</v>
      </c>
      <c r="I283" s="5" t="s">
        <v>19</v>
      </c>
      <c r="J283" s="3" t="s">
        <v>36</v>
      </c>
      <c r="K283" s="4">
        <v>72</v>
      </c>
      <c r="L283" s="3" t="s">
        <v>41</v>
      </c>
      <c r="M283" s="2" t="s">
        <v>22</v>
      </c>
      <c r="N283" s="2" t="s">
        <v>23</v>
      </c>
      <c r="O283" s="2" t="s">
        <v>21</v>
      </c>
      <c r="P283" s="6">
        <f>T_CURSOS[[#This Row],[IMPORTE PROFESOR]]+T_CURSOS[[#This Row],[IMPORTE COMERCIAL]]</f>
        <v>192</v>
      </c>
      <c r="Q283" s="6">
        <f>T_CURSOS[[#This Row],[IMPORTE CLIENTE]]-T_CURSOS[[#This Row],[GASTO]]</f>
        <v>408</v>
      </c>
      <c r="R283" s="7">
        <f>T_CURSOS[[#This Row],[BENEFICIO]]/T_CURSOS[[#This Row],[IMPORTE CLIENTE]]</f>
        <v>0.68</v>
      </c>
    </row>
    <row r="284" spans="1:18" x14ac:dyDescent="0.2">
      <c r="A284" s="2" t="s">
        <v>336</v>
      </c>
      <c r="B284" s="3" t="s">
        <v>33</v>
      </c>
      <c r="C284" s="3">
        <v>12</v>
      </c>
      <c r="D284" s="3" t="s">
        <v>38</v>
      </c>
      <c r="E284" s="4">
        <v>480</v>
      </c>
      <c r="F284" s="3" t="s">
        <v>27</v>
      </c>
      <c r="G284" s="4">
        <v>144</v>
      </c>
      <c r="H284" s="5">
        <v>43953</v>
      </c>
      <c r="I284" s="5" t="s">
        <v>28</v>
      </c>
      <c r="J284" s="3" t="s">
        <v>20</v>
      </c>
      <c r="K284" s="4">
        <v>48</v>
      </c>
      <c r="L284" s="3" t="s">
        <v>21</v>
      </c>
      <c r="M284" s="2" t="s">
        <v>30</v>
      </c>
      <c r="N284" s="2" t="s">
        <v>31</v>
      </c>
      <c r="O284" s="2" t="s">
        <v>21</v>
      </c>
      <c r="P284" s="6">
        <f>T_CURSOS[[#This Row],[IMPORTE PROFESOR]]+T_CURSOS[[#This Row],[IMPORTE COMERCIAL]]</f>
        <v>192</v>
      </c>
      <c r="Q284" s="6">
        <f>T_CURSOS[[#This Row],[IMPORTE CLIENTE]]-T_CURSOS[[#This Row],[GASTO]]</f>
        <v>288</v>
      </c>
      <c r="R284" s="7">
        <f>T_CURSOS[[#This Row],[BENEFICIO]]/T_CURSOS[[#This Row],[IMPORTE CLIENTE]]</f>
        <v>0.6</v>
      </c>
    </row>
    <row r="285" spans="1:18" x14ac:dyDescent="0.2">
      <c r="A285" s="2" t="s">
        <v>337</v>
      </c>
      <c r="B285" s="3" t="s">
        <v>33</v>
      </c>
      <c r="C285" s="3">
        <v>15</v>
      </c>
      <c r="D285" s="3" t="s">
        <v>51</v>
      </c>
      <c r="E285" s="4">
        <v>600</v>
      </c>
      <c r="F285" s="3" t="s">
        <v>35</v>
      </c>
      <c r="G285" s="4">
        <v>180</v>
      </c>
      <c r="H285" s="5">
        <v>44205</v>
      </c>
      <c r="I285" s="5" t="s">
        <v>28</v>
      </c>
      <c r="J285" s="3" t="s">
        <v>29</v>
      </c>
      <c r="K285" s="4">
        <v>60</v>
      </c>
      <c r="L285" s="3" t="s">
        <v>41</v>
      </c>
      <c r="M285" s="2" t="s">
        <v>45</v>
      </c>
      <c r="N285" s="2" t="s">
        <v>82</v>
      </c>
      <c r="O285" s="2" t="s">
        <v>21</v>
      </c>
      <c r="P285" s="6">
        <f>T_CURSOS[[#This Row],[IMPORTE PROFESOR]]+T_CURSOS[[#This Row],[IMPORTE COMERCIAL]]</f>
        <v>240</v>
      </c>
      <c r="Q285" s="6">
        <f>T_CURSOS[[#This Row],[IMPORTE CLIENTE]]-T_CURSOS[[#This Row],[GASTO]]</f>
        <v>360</v>
      </c>
      <c r="R285" s="7">
        <f>T_CURSOS[[#This Row],[BENEFICIO]]/T_CURSOS[[#This Row],[IMPORTE CLIENTE]]</f>
        <v>0.6</v>
      </c>
    </row>
    <row r="286" spans="1:18" x14ac:dyDescent="0.2">
      <c r="A286" s="2" t="s">
        <v>338</v>
      </c>
      <c r="B286" s="3" t="s">
        <v>33</v>
      </c>
      <c r="C286" s="3">
        <v>25</v>
      </c>
      <c r="D286" s="3" t="s">
        <v>34</v>
      </c>
      <c r="E286" s="4">
        <v>1000</v>
      </c>
      <c r="F286" s="3" t="s">
        <v>39</v>
      </c>
      <c r="G286" s="4">
        <v>300</v>
      </c>
      <c r="H286" s="5">
        <v>44010</v>
      </c>
      <c r="I286" s="5" t="s">
        <v>28</v>
      </c>
      <c r="J286" s="3" t="s">
        <v>36</v>
      </c>
      <c r="K286" s="4">
        <v>100</v>
      </c>
      <c r="L286" s="3" t="s">
        <v>21</v>
      </c>
      <c r="M286" s="2" t="s">
        <v>22</v>
      </c>
      <c r="N286" s="2" t="s">
        <v>23</v>
      </c>
      <c r="O286" s="2" t="s">
        <v>21</v>
      </c>
      <c r="P286" s="6">
        <f>T_CURSOS[[#This Row],[IMPORTE PROFESOR]]+T_CURSOS[[#This Row],[IMPORTE COMERCIAL]]</f>
        <v>400</v>
      </c>
      <c r="Q286" s="6">
        <f>T_CURSOS[[#This Row],[IMPORTE CLIENTE]]-T_CURSOS[[#This Row],[GASTO]]</f>
        <v>600</v>
      </c>
      <c r="R286" s="7">
        <f>T_CURSOS[[#This Row],[BENEFICIO]]/T_CURSOS[[#This Row],[IMPORTE CLIENTE]]</f>
        <v>0.6</v>
      </c>
    </row>
    <row r="287" spans="1:18" x14ac:dyDescent="0.2">
      <c r="A287" s="2" t="s">
        <v>339</v>
      </c>
      <c r="B287" s="3" t="s">
        <v>33</v>
      </c>
      <c r="C287" s="3">
        <v>15</v>
      </c>
      <c r="D287" s="3" t="s">
        <v>56</v>
      </c>
      <c r="E287" s="4">
        <v>600</v>
      </c>
      <c r="F287" s="3" t="s">
        <v>44</v>
      </c>
      <c r="G287" s="4">
        <v>180</v>
      </c>
      <c r="H287" s="5">
        <v>44104</v>
      </c>
      <c r="I287" s="5" t="s">
        <v>57</v>
      </c>
      <c r="J287" s="3" t="s">
        <v>40</v>
      </c>
      <c r="K287" s="4">
        <v>60</v>
      </c>
      <c r="L287" s="3" t="s">
        <v>21</v>
      </c>
      <c r="M287" s="2" t="s">
        <v>22</v>
      </c>
      <c r="N287" s="2" t="s">
        <v>23</v>
      </c>
      <c r="O287" s="2" t="s">
        <v>21</v>
      </c>
      <c r="P287" s="6">
        <f>T_CURSOS[[#This Row],[IMPORTE PROFESOR]]+T_CURSOS[[#This Row],[IMPORTE COMERCIAL]]</f>
        <v>240</v>
      </c>
      <c r="Q287" s="6">
        <f>T_CURSOS[[#This Row],[IMPORTE CLIENTE]]-T_CURSOS[[#This Row],[GASTO]]</f>
        <v>360</v>
      </c>
      <c r="R287" s="7">
        <f>T_CURSOS[[#This Row],[BENEFICIO]]/T_CURSOS[[#This Row],[IMPORTE CLIENTE]]</f>
        <v>0.6</v>
      </c>
    </row>
    <row r="288" spans="1:18" x14ac:dyDescent="0.2">
      <c r="A288" s="2" t="s">
        <v>340</v>
      </c>
      <c r="B288" s="3" t="s">
        <v>25</v>
      </c>
      <c r="C288" s="3">
        <v>20</v>
      </c>
      <c r="D288" s="3" t="s">
        <v>43</v>
      </c>
      <c r="E288" s="4">
        <v>600</v>
      </c>
      <c r="F288" s="3" t="s">
        <v>27</v>
      </c>
      <c r="G288" s="4">
        <v>240</v>
      </c>
      <c r="H288" s="5">
        <v>43802</v>
      </c>
      <c r="I288" s="5" t="s">
        <v>57</v>
      </c>
      <c r="J288" s="3" t="s">
        <v>20</v>
      </c>
      <c r="K288" s="4">
        <v>48</v>
      </c>
      <c r="L288" s="3" t="s">
        <v>21</v>
      </c>
      <c r="M288" s="2" t="s">
        <v>45</v>
      </c>
      <c r="N288" s="2" t="s">
        <v>82</v>
      </c>
      <c r="O288" s="2" t="s">
        <v>21</v>
      </c>
      <c r="P288" s="6">
        <f>T_CURSOS[[#This Row],[IMPORTE PROFESOR]]+T_CURSOS[[#This Row],[IMPORTE COMERCIAL]]</f>
        <v>288</v>
      </c>
      <c r="Q288" s="6">
        <f>T_CURSOS[[#This Row],[IMPORTE CLIENTE]]-T_CURSOS[[#This Row],[GASTO]]</f>
        <v>312</v>
      </c>
      <c r="R288" s="7">
        <f>T_CURSOS[[#This Row],[BENEFICIO]]/T_CURSOS[[#This Row],[IMPORTE CLIENTE]]</f>
        <v>0.52</v>
      </c>
    </row>
    <row r="289" spans="1:18" x14ac:dyDescent="0.2">
      <c r="A289" s="2" t="s">
        <v>341</v>
      </c>
      <c r="B289" s="3" t="s">
        <v>25</v>
      </c>
      <c r="C289" s="3">
        <v>20</v>
      </c>
      <c r="D289" s="3" t="s">
        <v>51</v>
      </c>
      <c r="E289" s="4">
        <v>600</v>
      </c>
      <c r="F289" s="3" t="s">
        <v>35</v>
      </c>
      <c r="G289" s="4">
        <v>240</v>
      </c>
      <c r="H289" s="5">
        <v>44489</v>
      </c>
      <c r="I289" s="5" t="s">
        <v>57</v>
      </c>
      <c r="J289" s="3" t="s">
        <v>29</v>
      </c>
      <c r="K289" s="4">
        <v>48</v>
      </c>
      <c r="L289" s="3" t="s">
        <v>21</v>
      </c>
      <c r="M289" s="2" t="s">
        <v>45</v>
      </c>
      <c r="N289" s="2" t="s">
        <v>46</v>
      </c>
      <c r="O289" s="2" t="s">
        <v>21</v>
      </c>
      <c r="P289" s="6">
        <f>T_CURSOS[[#This Row],[IMPORTE PROFESOR]]+T_CURSOS[[#This Row],[IMPORTE COMERCIAL]]</f>
        <v>288</v>
      </c>
      <c r="Q289" s="6">
        <f>T_CURSOS[[#This Row],[IMPORTE CLIENTE]]-T_CURSOS[[#This Row],[GASTO]]</f>
        <v>312</v>
      </c>
      <c r="R289" s="7">
        <f>T_CURSOS[[#This Row],[BENEFICIO]]/T_CURSOS[[#This Row],[IMPORTE CLIENTE]]</f>
        <v>0.52</v>
      </c>
    </row>
    <row r="290" spans="1:18" x14ac:dyDescent="0.2">
      <c r="A290" s="2" t="s">
        <v>342</v>
      </c>
      <c r="B290" s="3" t="s">
        <v>25</v>
      </c>
      <c r="C290" s="3">
        <v>30</v>
      </c>
      <c r="D290" s="3" t="s">
        <v>61</v>
      </c>
      <c r="E290" s="4">
        <v>900</v>
      </c>
      <c r="F290" s="3" t="s">
        <v>39</v>
      </c>
      <c r="G290" s="4">
        <v>360</v>
      </c>
      <c r="H290" s="5">
        <v>43722</v>
      </c>
      <c r="I290" s="5" t="s">
        <v>57</v>
      </c>
      <c r="J290" s="3" t="s">
        <v>36</v>
      </c>
      <c r="K290" s="4">
        <v>72</v>
      </c>
      <c r="L290" s="3" t="s">
        <v>21</v>
      </c>
      <c r="M290" s="2" t="s">
        <v>22</v>
      </c>
      <c r="N290" s="2" t="s">
        <v>23</v>
      </c>
      <c r="O290" s="2" t="s">
        <v>21</v>
      </c>
      <c r="P290" s="6">
        <f>T_CURSOS[[#This Row],[IMPORTE PROFESOR]]+T_CURSOS[[#This Row],[IMPORTE COMERCIAL]]</f>
        <v>432</v>
      </c>
      <c r="Q290" s="6">
        <f>T_CURSOS[[#This Row],[IMPORTE CLIENTE]]-T_CURSOS[[#This Row],[GASTO]]</f>
        <v>468</v>
      </c>
      <c r="R290" s="7">
        <f>T_CURSOS[[#This Row],[BENEFICIO]]/T_CURSOS[[#This Row],[IMPORTE CLIENTE]]</f>
        <v>0.52</v>
      </c>
    </row>
    <row r="291" spans="1:18" x14ac:dyDescent="0.2">
      <c r="A291" s="2" t="s">
        <v>343</v>
      </c>
      <c r="B291" s="3" t="s">
        <v>16</v>
      </c>
      <c r="C291" s="3">
        <v>35</v>
      </c>
      <c r="D291" s="3" t="s">
        <v>38</v>
      </c>
      <c r="E291" s="4">
        <v>875</v>
      </c>
      <c r="F291" s="3" t="s">
        <v>44</v>
      </c>
      <c r="G291" s="4">
        <v>420</v>
      </c>
      <c r="H291" s="5">
        <v>44341</v>
      </c>
      <c r="I291" s="5" t="s">
        <v>57</v>
      </c>
      <c r="J291" s="3" t="s">
        <v>40</v>
      </c>
      <c r="K291" s="4">
        <v>61.25</v>
      </c>
      <c r="L291" s="3" t="s">
        <v>21</v>
      </c>
      <c r="M291" s="2" t="s">
        <v>30</v>
      </c>
      <c r="N291" s="2" t="s">
        <v>31</v>
      </c>
      <c r="O291" s="2" t="s">
        <v>21</v>
      </c>
      <c r="P291" s="6">
        <f>T_CURSOS[[#This Row],[IMPORTE PROFESOR]]+T_CURSOS[[#This Row],[IMPORTE COMERCIAL]]</f>
        <v>481.25</v>
      </c>
      <c r="Q291" s="6">
        <f>T_CURSOS[[#This Row],[IMPORTE CLIENTE]]-T_CURSOS[[#This Row],[GASTO]]</f>
        <v>393.75</v>
      </c>
      <c r="R291" s="7">
        <f>T_CURSOS[[#This Row],[BENEFICIO]]/T_CURSOS[[#This Row],[IMPORTE CLIENTE]]</f>
        <v>0.45</v>
      </c>
    </row>
    <row r="292" spans="1:18" x14ac:dyDescent="0.2">
      <c r="A292" s="2" t="s">
        <v>344</v>
      </c>
      <c r="B292" s="3" t="s">
        <v>16</v>
      </c>
      <c r="C292" s="3">
        <v>40</v>
      </c>
      <c r="D292" s="3" t="s">
        <v>43</v>
      </c>
      <c r="E292" s="4">
        <v>1000</v>
      </c>
      <c r="F292" s="3" t="s">
        <v>27</v>
      </c>
      <c r="G292" s="4">
        <v>480</v>
      </c>
      <c r="H292" s="5">
        <v>44037</v>
      </c>
      <c r="I292" s="5" t="s">
        <v>28</v>
      </c>
      <c r="J292" s="3" t="s">
        <v>29</v>
      </c>
      <c r="K292" s="4">
        <v>70</v>
      </c>
      <c r="L292" s="3" t="s">
        <v>21</v>
      </c>
      <c r="M292" s="2" t="s">
        <v>45</v>
      </c>
      <c r="N292" s="2" t="s">
        <v>46</v>
      </c>
      <c r="O292" s="2" t="s">
        <v>21</v>
      </c>
      <c r="P292" s="6">
        <f>T_CURSOS[[#This Row],[IMPORTE PROFESOR]]+T_CURSOS[[#This Row],[IMPORTE COMERCIAL]]</f>
        <v>550</v>
      </c>
      <c r="Q292" s="6">
        <f>T_CURSOS[[#This Row],[IMPORTE CLIENTE]]-T_CURSOS[[#This Row],[GASTO]]</f>
        <v>450</v>
      </c>
      <c r="R292" s="7">
        <f>T_CURSOS[[#This Row],[BENEFICIO]]/T_CURSOS[[#This Row],[IMPORTE CLIENTE]]</f>
        <v>0.45</v>
      </c>
    </row>
    <row r="293" spans="1:18" x14ac:dyDescent="0.2">
      <c r="A293" s="2" t="s">
        <v>345</v>
      </c>
      <c r="B293" s="3" t="s">
        <v>16</v>
      </c>
      <c r="C293" s="3">
        <v>40</v>
      </c>
      <c r="D293" s="3" t="s">
        <v>51</v>
      </c>
      <c r="E293" s="4">
        <v>1000</v>
      </c>
      <c r="F293" s="3" t="s">
        <v>35</v>
      </c>
      <c r="G293" s="4">
        <v>480</v>
      </c>
      <c r="H293" s="5">
        <v>44018</v>
      </c>
      <c r="I293" s="5" t="s">
        <v>57</v>
      </c>
      <c r="J293" s="3" t="s">
        <v>36</v>
      </c>
      <c r="K293" s="4">
        <v>70</v>
      </c>
      <c r="L293" s="3" t="s">
        <v>21</v>
      </c>
      <c r="M293" s="2" t="s">
        <v>45</v>
      </c>
      <c r="N293" s="2" t="s">
        <v>46</v>
      </c>
      <c r="O293" s="2" t="s">
        <v>21</v>
      </c>
      <c r="P293" s="6">
        <f>T_CURSOS[[#This Row],[IMPORTE PROFESOR]]+T_CURSOS[[#This Row],[IMPORTE COMERCIAL]]</f>
        <v>550</v>
      </c>
      <c r="Q293" s="6">
        <f>T_CURSOS[[#This Row],[IMPORTE CLIENTE]]-T_CURSOS[[#This Row],[GASTO]]</f>
        <v>450</v>
      </c>
      <c r="R293" s="7">
        <f>T_CURSOS[[#This Row],[BENEFICIO]]/T_CURSOS[[#This Row],[IMPORTE CLIENTE]]</f>
        <v>0.45</v>
      </c>
    </row>
    <row r="294" spans="1:18" x14ac:dyDescent="0.2">
      <c r="A294" s="2" t="s">
        <v>346</v>
      </c>
      <c r="B294" s="3" t="s">
        <v>16</v>
      </c>
      <c r="C294" s="3">
        <v>35</v>
      </c>
      <c r="D294" s="3" t="s">
        <v>34</v>
      </c>
      <c r="E294" s="4">
        <v>875</v>
      </c>
      <c r="F294" s="3" t="s">
        <v>39</v>
      </c>
      <c r="G294" s="4">
        <v>420</v>
      </c>
      <c r="H294" s="5">
        <v>44429</v>
      </c>
      <c r="I294" s="5" t="s">
        <v>57</v>
      </c>
      <c r="J294" s="3" t="s">
        <v>40</v>
      </c>
      <c r="K294" s="4">
        <v>61.25</v>
      </c>
      <c r="L294" s="3" t="s">
        <v>21</v>
      </c>
      <c r="M294" s="2" t="s">
        <v>22</v>
      </c>
      <c r="N294" s="2" t="s">
        <v>23</v>
      </c>
      <c r="O294" s="2" t="s">
        <v>21</v>
      </c>
      <c r="P294" s="6">
        <f>T_CURSOS[[#This Row],[IMPORTE PROFESOR]]+T_CURSOS[[#This Row],[IMPORTE COMERCIAL]]</f>
        <v>481.25</v>
      </c>
      <c r="Q294" s="6">
        <f>T_CURSOS[[#This Row],[IMPORTE CLIENTE]]-T_CURSOS[[#This Row],[GASTO]]</f>
        <v>393.75</v>
      </c>
      <c r="R294" s="7">
        <f>T_CURSOS[[#This Row],[BENEFICIO]]/T_CURSOS[[#This Row],[IMPORTE CLIENTE]]</f>
        <v>0.45</v>
      </c>
    </row>
    <row r="295" spans="1:18" x14ac:dyDescent="0.2">
      <c r="A295" s="2" t="s">
        <v>347</v>
      </c>
      <c r="B295" s="3" t="s">
        <v>25</v>
      </c>
      <c r="C295" s="3">
        <v>10</v>
      </c>
      <c r="D295" s="3" t="s">
        <v>56</v>
      </c>
      <c r="E295" s="4">
        <v>300</v>
      </c>
      <c r="F295" s="3" t="s">
        <v>18</v>
      </c>
      <c r="G295" s="4">
        <v>120</v>
      </c>
      <c r="H295" s="5">
        <v>44242</v>
      </c>
      <c r="I295" s="5" t="s">
        <v>57</v>
      </c>
      <c r="J295" s="3" t="s">
        <v>20</v>
      </c>
      <c r="K295" s="4">
        <v>24</v>
      </c>
      <c r="L295" s="3" t="s">
        <v>21</v>
      </c>
      <c r="M295" s="2" t="s">
        <v>22</v>
      </c>
      <c r="N295" s="2" t="s">
        <v>23</v>
      </c>
      <c r="O295" s="2" t="s">
        <v>21</v>
      </c>
      <c r="P295" s="6">
        <f>T_CURSOS[[#This Row],[IMPORTE PROFESOR]]+T_CURSOS[[#This Row],[IMPORTE COMERCIAL]]</f>
        <v>144</v>
      </c>
      <c r="Q295" s="6">
        <f>T_CURSOS[[#This Row],[IMPORTE CLIENTE]]-T_CURSOS[[#This Row],[GASTO]]</f>
        <v>156</v>
      </c>
      <c r="R295" s="7">
        <f>T_CURSOS[[#This Row],[BENEFICIO]]/T_CURSOS[[#This Row],[IMPORTE CLIENTE]]</f>
        <v>0.52</v>
      </c>
    </row>
    <row r="296" spans="1:18" x14ac:dyDescent="0.2">
      <c r="A296" s="2" t="s">
        <v>348</v>
      </c>
      <c r="B296" s="3" t="s">
        <v>33</v>
      </c>
      <c r="C296" s="3">
        <v>12</v>
      </c>
      <c r="D296" s="3" t="s">
        <v>56</v>
      </c>
      <c r="E296" s="4">
        <v>480</v>
      </c>
      <c r="F296" s="3" t="s">
        <v>27</v>
      </c>
      <c r="G296" s="4">
        <v>144</v>
      </c>
      <c r="H296" s="5">
        <v>43496</v>
      </c>
      <c r="I296" s="5" t="s">
        <v>28</v>
      </c>
      <c r="J296" s="3" t="s">
        <v>29</v>
      </c>
      <c r="K296" s="4">
        <v>48</v>
      </c>
      <c r="L296" s="3" t="s">
        <v>21</v>
      </c>
      <c r="M296" s="2" t="s">
        <v>22</v>
      </c>
      <c r="N296" s="2" t="s">
        <v>23</v>
      </c>
      <c r="O296" s="2" t="s">
        <v>21</v>
      </c>
      <c r="P296" s="6">
        <f>T_CURSOS[[#This Row],[IMPORTE PROFESOR]]+T_CURSOS[[#This Row],[IMPORTE COMERCIAL]]</f>
        <v>192</v>
      </c>
      <c r="Q296" s="6">
        <f>T_CURSOS[[#This Row],[IMPORTE CLIENTE]]-T_CURSOS[[#This Row],[GASTO]]</f>
        <v>288</v>
      </c>
      <c r="R296" s="7">
        <f>T_CURSOS[[#This Row],[BENEFICIO]]/T_CURSOS[[#This Row],[IMPORTE CLIENTE]]</f>
        <v>0.6</v>
      </c>
    </row>
    <row r="297" spans="1:18" x14ac:dyDescent="0.2">
      <c r="A297" s="2" t="s">
        <v>349</v>
      </c>
      <c r="B297" s="3" t="s">
        <v>16</v>
      </c>
      <c r="C297" s="3">
        <v>15</v>
      </c>
      <c r="D297" s="3" t="s">
        <v>51</v>
      </c>
      <c r="E297" s="4">
        <v>375</v>
      </c>
      <c r="F297" s="3" t="s">
        <v>35</v>
      </c>
      <c r="G297" s="4">
        <v>180</v>
      </c>
      <c r="H297" s="5">
        <v>44285</v>
      </c>
      <c r="I297" s="5" t="s">
        <v>28</v>
      </c>
      <c r="J297" s="3" t="s">
        <v>36</v>
      </c>
      <c r="K297" s="4">
        <v>26.25</v>
      </c>
      <c r="L297" s="3" t="s">
        <v>21</v>
      </c>
      <c r="M297" s="2" t="s">
        <v>45</v>
      </c>
      <c r="N297" s="2" t="s">
        <v>46</v>
      </c>
      <c r="O297" s="2" t="s">
        <v>21</v>
      </c>
      <c r="P297" s="6">
        <f>T_CURSOS[[#This Row],[IMPORTE PROFESOR]]+T_CURSOS[[#This Row],[IMPORTE COMERCIAL]]</f>
        <v>206.25</v>
      </c>
      <c r="Q297" s="6">
        <f>T_CURSOS[[#This Row],[IMPORTE CLIENTE]]-T_CURSOS[[#This Row],[GASTO]]</f>
        <v>168.75</v>
      </c>
      <c r="R297" s="7">
        <f>T_CURSOS[[#This Row],[BENEFICIO]]/T_CURSOS[[#This Row],[IMPORTE CLIENTE]]</f>
        <v>0.45</v>
      </c>
    </row>
    <row r="298" spans="1:18" x14ac:dyDescent="0.2">
      <c r="A298" s="2" t="s">
        <v>350</v>
      </c>
      <c r="B298" s="3" t="s">
        <v>16</v>
      </c>
      <c r="C298" s="3">
        <v>25</v>
      </c>
      <c r="D298" s="3" t="s">
        <v>43</v>
      </c>
      <c r="E298" s="4">
        <v>625</v>
      </c>
      <c r="F298" s="3" t="s">
        <v>35</v>
      </c>
      <c r="G298" s="4">
        <v>300</v>
      </c>
      <c r="H298" s="5">
        <v>44410</v>
      </c>
      <c r="I298" s="5" t="s">
        <v>28</v>
      </c>
      <c r="J298" s="3" t="s">
        <v>20</v>
      </c>
      <c r="K298" s="4">
        <v>43.75</v>
      </c>
      <c r="L298" s="3" t="s">
        <v>21</v>
      </c>
      <c r="M298" s="2" t="s">
        <v>45</v>
      </c>
      <c r="N298" s="2" t="s">
        <v>46</v>
      </c>
      <c r="O298" s="2" t="s">
        <v>21</v>
      </c>
      <c r="P298" s="6">
        <f>T_CURSOS[[#This Row],[IMPORTE PROFESOR]]+T_CURSOS[[#This Row],[IMPORTE COMERCIAL]]</f>
        <v>343.75</v>
      </c>
      <c r="Q298" s="6">
        <f>T_CURSOS[[#This Row],[IMPORTE CLIENTE]]-T_CURSOS[[#This Row],[GASTO]]</f>
        <v>281.25</v>
      </c>
      <c r="R298" s="7">
        <f>T_CURSOS[[#This Row],[BENEFICIO]]/T_CURSOS[[#This Row],[IMPORTE CLIENTE]]</f>
        <v>0.45</v>
      </c>
    </row>
    <row r="299" spans="1:18" x14ac:dyDescent="0.2">
      <c r="A299" s="2" t="s">
        <v>351</v>
      </c>
      <c r="B299" s="3" t="s">
        <v>16</v>
      </c>
      <c r="C299" s="3">
        <v>15</v>
      </c>
      <c r="D299" s="3" t="s">
        <v>61</v>
      </c>
      <c r="E299" s="4">
        <v>375</v>
      </c>
      <c r="F299" s="3" t="s">
        <v>39</v>
      </c>
      <c r="G299" s="4">
        <v>180</v>
      </c>
      <c r="H299" s="5">
        <v>44296</v>
      </c>
      <c r="I299" s="5" t="s">
        <v>28</v>
      </c>
      <c r="J299" s="3" t="s">
        <v>29</v>
      </c>
      <c r="K299" s="4">
        <v>26.25</v>
      </c>
      <c r="L299" s="3" t="s">
        <v>21</v>
      </c>
      <c r="M299" s="2" t="s">
        <v>22</v>
      </c>
      <c r="N299" s="2" t="s">
        <v>23</v>
      </c>
      <c r="O299" s="2" t="s">
        <v>21</v>
      </c>
      <c r="P299" s="6">
        <f>T_CURSOS[[#This Row],[IMPORTE PROFESOR]]+T_CURSOS[[#This Row],[IMPORTE COMERCIAL]]</f>
        <v>206.25</v>
      </c>
      <c r="Q299" s="6">
        <f>T_CURSOS[[#This Row],[IMPORTE CLIENTE]]-T_CURSOS[[#This Row],[GASTO]]</f>
        <v>168.75</v>
      </c>
      <c r="R299" s="7">
        <f>T_CURSOS[[#This Row],[BENEFICIO]]/T_CURSOS[[#This Row],[IMPORTE CLIENTE]]</f>
        <v>0.45</v>
      </c>
    </row>
    <row r="300" spans="1:18" x14ac:dyDescent="0.2">
      <c r="A300" s="2" t="s">
        <v>352</v>
      </c>
      <c r="B300" s="3" t="s">
        <v>25</v>
      </c>
      <c r="C300" s="3">
        <v>10</v>
      </c>
      <c r="D300" s="3" t="s">
        <v>38</v>
      </c>
      <c r="E300" s="4">
        <v>300</v>
      </c>
      <c r="F300" s="3" t="s">
        <v>44</v>
      </c>
      <c r="G300" s="4">
        <v>120</v>
      </c>
      <c r="H300" s="5">
        <v>44354</v>
      </c>
      <c r="I300" s="5" t="s">
        <v>57</v>
      </c>
      <c r="J300" s="3" t="s">
        <v>36</v>
      </c>
      <c r="K300" s="4">
        <v>24</v>
      </c>
      <c r="L300" s="3" t="s">
        <v>41</v>
      </c>
      <c r="M300" s="2" t="s">
        <v>30</v>
      </c>
      <c r="N300" s="2" t="s">
        <v>31</v>
      </c>
      <c r="O300" s="2" t="s">
        <v>21</v>
      </c>
      <c r="P300" s="6">
        <f>T_CURSOS[[#This Row],[IMPORTE PROFESOR]]+T_CURSOS[[#This Row],[IMPORTE COMERCIAL]]</f>
        <v>144</v>
      </c>
      <c r="Q300" s="6">
        <f>T_CURSOS[[#This Row],[IMPORTE CLIENTE]]-T_CURSOS[[#This Row],[GASTO]]</f>
        <v>156</v>
      </c>
      <c r="R300" s="7">
        <f>T_CURSOS[[#This Row],[BENEFICIO]]/T_CURSOS[[#This Row],[IMPORTE CLIENTE]]</f>
        <v>0.52</v>
      </c>
    </row>
    <row r="301" spans="1:18" x14ac:dyDescent="0.2">
      <c r="A301" s="2" t="s">
        <v>353</v>
      </c>
      <c r="B301" s="3" t="s">
        <v>25</v>
      </c>
      <c r="C301" s="3">
        <v>12</v>
      </c>
      <c r="D301" s="3" t="s">
        <v>43</v>
      </c>
      <c r="E301" s="4">
        <v>360</v>
      </c>
      <c r="F301" s="3" t="s">
        <v>27</v>
      </c>
      <c r="G301" s="4">
        <v>144</v>
      </c>
      <c r="H301" s="5">
        <v>44449</v>
      </c>
      <c r="I301" s="5" t="s">
        <v>57</v>
      </c>
      <c r="J301" s="3" t="s">
        <v>40</v>
      </c>
      <c r="K301" s="4">
        <v>28.8</v>
      </c>
      <c r="L301" s="3" t="s">
        <v>41</v>
      </c>
      <c r="M301" s="2" t="s">
        <v>45</v>
      </c>
      <c r="N301" s="2" t="s">
        <v>46</v>
      </c>
      <c r="O301" s="2" t="s">
        <v>21</v>
      </c>
      <c r="P301" s="6">
        <f>T_CURSOS[[#This Row],[IMPORTE PROFESOR]]+T_CURSOS[[#This Row],[IMPORTE COMERCIAL]]</f>
        <v>172.8</v>
      </c>
      <c r="Q301" s="6">
        <f>T_CURSOS[[#This Row],[IMPORTE CLIENTE]]-T_CURSOS[[#This Row],[GASTO]]</f>
        <v>187.2</v>
      </c>
      <c r="R301" s="7">
        <f>T_CURSOS[[#This Row],[BENEFICIO]]/T_CURSOS[[#This Row],[IMPORTE CLIENTE]]</f>
        <v>0.52</v>
      </c>
    </row>
    <row r="302" spans="1:18" x14ac:dyDescent="0.2">
      <c r="A302" s="2" t="s">
        <v>354</v>
      </c>
      <c r="B302" s="3" t="s">
        <v>25</v>
      </c>
      <c r="C302" s="3">
        <v>15</v>
      </c>
      <c r="D302" s="3" t="s">
        <v>38</v>
      </c>
      <c r="E302" s="4">
        <v>450</v>
      </c>
      <c r="F302" s="3" t="s">
        <v>35</v>
      </c>
      <c r="G302" s="4">
        <v>180</v>
      </c>
      <c r="H302" s="5">
        <v>44556</v>
      </c>
      <c r="I302" s="5" t="s">
        <v>57</v>
      </c>
      <c r="J302" s="3" t="s">
        <v>29</v>
      </c>
      <c r="K302" s="4">
        <v>36</v>
      </c>
      <c r="L302" s="3" t="s">
        <v>41</v>
      </c>
      <c r="M302" s="2" t="s">
        <v>30</v>
      </c>
      <c r="N302" s="2" t="s">
        <v>31</v>
      </c>
      <c r="O302" s="2" t="s">
        <v>21</v>
      </c>
      <c r="P302" s="6">
        <f>T_CURSOS[[#This Row],[IMPORTE PROFESOR]]+T_CURSOS[[#This Row],[IMPORTE COMERCIAL]]</f>
        <v>216</v>
      </c>
      <c r="Q302" s="6">
        <f>T_CURSOS[[#This Row],[IMPORTE CLIENTE]]-T_CURSOS[[#This Row],[GASTO]]</f>
        <v>234</v>
      </c>
      <c r="R302" s="7">
        <f>T_CURSOS[[#This Row],[BENEFICIO]]/T_CURSOS[[#This Row],[IMPORTE CLIENTE]]</f>
        <v>0.52</v>
      </c>
    </row>
    <row r="303" spans="1:18" x14ac:dyDescent="0.2">
      <c r="A303" s="2" t="s">
        <v>355</v>
      </c>
      <c r="B303" s="3" t="s">
        <v>53</v>
      </c>
      <c r="C303" s="3">
        <v>25</v>
      </c>
      <c r="D303" s="3" t="s">
        <v>34</v>
      </c>
      <c r="E303" s="4">
        <v>625</v>
      </c>
      <c r="F303" s="3" t="s">
        <v>39</v>
      </c>
      <c r="G303" s="4">
        <v>300</v>
      </c>
      <c r="H303" s="5">
        <v>43560</v>
      </c>
      <c r="I303" s="5" t="s">
        <v>57</v>
      </c>
      <c r="J303" s="3" t="s">
        <v>36</v>
      </c>
      <c r="K303" s="4">
        <v>31.25</v>
      </c>
      <c r="L303" s="3" t="s">
        <v>41</v>
      </c>
      <c r="M303" s="2" t="s">
        <v>22</v>
      </c>
      <c r="N303" s="2" t="s">
        <v>23</v>
      </c>
      <c r="O303" s="2" t="s">
        <v>21</v>
      </c>
      <c r="P303" s="6">
        <f>T_CURSOS[[#This Row],[IMPORTE PROFESOR]]+T_CURSOS[[#This Row],[IMPORTE COMERCIAL]]</f>
        <v>331.25</v>
      </c>
      <c r="Q303" s="6">
        <f>T_CURSOS[[#This Row],[IMPORTE CLIENTE]]-T_CURSOS[[#This Row],[GASTO]]</f>
        <v>293.75</v>
      </c>
      <c r="R303" s="7">
        <f>T_CURSOS[[#This Row],[BENEFICIO]]/T_CURSOS[[#This Row],[IMPORTE CLIENTE]]</f>
        <v>0.47</v>
      </c>
    </row>
    <row r="304" spans="1:18" x14ac:dyDescent="0.2">
      <c r="A304" s="2" t="s">
        <v>356</v>
      </c>
      <c r="B304" s="3" t="s">
        <v>55</v>
      </c>
      <c r="C304" s="3">
        <v>15</v>
      </c>
      <c r="D304" s="3" t="s">
        <v>38</v>
      </c>
      <c r="E304" s="4">
        <v>375</v>
      </c>
      <c r="F304" s="3" t="s">
        <v>18</v>
      </c>
      <c r="G304" s="4">
        <v>180</v>
      </c>
      <c r="H304" s="5">
        <v>43618</v>
      </c>
      <c r="I304" s="5" t="s">
        <v>57</v>
      </c>
      <c r="J304" s="3" t="s">
        <v>40</v>
      </c>
      <c r="K304" s="4">
        <v>18.75</v>
      </c>
      <c r="L304" s="3" t="s">
        <v>21</v>
      </c>
      <c r="M304" s="2" t="s">
        <v>30</v>
      </c>
      <c r="N304" s="2" t="s">
        <v>31</v>
      </c>
      <c r="O304" s="2" t="s">
        <v>41</v>
      </c>
      <c r="P304" s="6">
        <f>T_CURSOS[[#This Row],[IMPORTE PROFESOR]]+T_CURSOS[[#This Row],[IMPORTE COMERCIAL]]</f>
        <v>198.75</v>
      </c>
      <c r="Q304" s="6">
        <f>T_CURSOS[[#This Row],[IMPORTE CLIENTE]]-T_CURSOS[[#This Row],[GASTO]]</f>
        <v>176.25</v>
      </c>
      <c r="R304" s="7">
        <f>T_CURSOS[[#This Row],[BENEFICIO]]/T_CURSOS[[#This Row],[IMPORTE CLIENTE]]</f>
        <v>0.47</v>
      </c>
    </row>
    <row r="305" spans="1:18" x14ac:dyDescent="0.2">
      <c r="A305" s="2" t="s">
        <v>357</v>
      </c>
      <c r="B305" s="3" t="s">
        <v>55</v>
      </c>
      <c r="C305" s="3">
        <v>20</v>
      </c>
      <c r="D305" s="3" t="s">
        <v>51</v>
      </c>
      <c r="E305" s="4">
        <v>500</v>
      </c>
      <c r="F305" s="3" t="s">
        <v>27</v>
      </c>
      <c r="G305" s="4">
        <v>240</v>
      </c>
      <c r="H305" s="5">
        <v>43662</v>
      </c>
      <c r="I305" s="5" t="s">
        <v>28</v>
      </c>
      <c r="J305" s="3" t="s">
        <v>20</v>
      </c>
      <c r="K305" s="4">
        <v>25</v>
      </c>
      <c r="L305" s="3" t="s">
        <v>21</v>
      </c>
      <c r="M305" s="2" t="s">
        <v>45</v>
      </c>
      <c r="N305" s="2" t="s">
        <v>46</v>
      </c>
      <c r="O305" s="2" t="s">
        <v>21</v>
      </c>
      <c r="P305" s="6">
        <f>T_CURSOS[[#This Row],[IMPORTE PROFESOR]]+T_CURSOS[[#This Row],[IMPORTE COMERCIAL]]</f>
        <v>265</v>
      </c>
      <c r="Q305" s="6">
        <f>T_CURSOS[[#This Row],[IMPORTE CLIENTE]]-T_CURSOS[[#This Row],[GASTO]]</f>
        <v>235</v>
      </c>
      <c r="R305" s="7">
        <f>T_CURSOS[[#This Row],[BENEFICIO]]/T_CURSOS[[#This Row],[IMPORTE CLIENTE]]</f>
        <v>0.47</v>
      </c>
    </row>
    <row r="306" spans="1:18" x14ac:dyDescent="0.2">
      <c r="A306" s="2" t="s">
        <v>358</v>
      </c>
      <c r="B306" s="3" t="s">
        <v>55</v>
      </c>
      <c r="C306" s="3">
        <v>20</v>
      </c>
      <c r="D306" s="3" t="s">
        <v>34</v>
      </c>
      <c r="E306" s="4">
        <v>500</v>
      </c>
      <c r="F306" s="3" t="s">
        <v>35</v>
      </c>
      <c r="G306" s="4">
        <v>240</v>
      </c>
      <c r="H306" s="5">
        <v>44001</v>
      </c>
      <c r="I306" s="5" t="s">
        <v>19</v>
      </c>
      <c r="J306" s="3" t="s">
        <v>29</v>
      </c>
      <c r="K306" s="4">
        <v>25</v>
      </c>
      <c r="L306" s="3" t="s">
        <v>21</v>
      </c>
      <c r="M306" s="2" t="s">
        <v>22</v>
      </c>
      <c r="N306" s="2" t="s">
        <v>23</v>
      </c>
      <c r="O306" s="2" t="s">
        <v>21</v>
      </c>
      <c r="P306" s="6">
        <f>T_CURSOS[[#This Row],[IMPORTE PROFESOR]]+T_CURSOS[[#This Row],[IMPORTE COMERCIAL]]</f>
        <v>265</v>
      </c>
      <c r="Q306" s="6">
        <f>T_CURSOS[[#This Row],[IMPORTE CLIENTE]]-T_CURSOS[[#This Row],[GASTO]]</f>
        <v>235</v>
      </c>
      <c r="R306" s="7">
        <f>T_CURSOS[[#This Row],[BENEFICIO]]/T_CURSOS[[#This Row],[IMPORTE CLIENTE]]</f>
        <v>0.47</v>
      </c>
    </row>
    <row r="307" spans="1:18" x14ac:dyDescent="0.2">
      <c r="A307" s="2" t="s">
        <v>359</v>
      </c>
      <c r="B307" s="3" t="s">
        <v>53</v>
      </c>
      <c r="C307" s="3">
        <v>30</v>
      </c>
      <c r="D307" s="3" t="s">
        <v>56</v>
      </c>
      <c r="E307" s="4">
        <v>750</v>
      </c>
      <c r="F307" s="3" t="s">
        <v>39</v>
      </c>
      <c r="G307" s="4">
        <v>360</v>
      </c>
      <c r="H307" s="5">
        <v>44323</v>
      </c>
      <c r="I307" s="5" t="s">
        <v>28</v>
      </c>
      <c r="J307" s="3" t="s">
        <v>36</v>
      </c>
      <c r="K307" s="4">
        <v>37.5</v>
      </c>
      <c r="L307" s="3" t="s">
        <v>21</v>
      </c>
      <c r="M307" s="2" t="s">
        <v>22</v>
      </c>
      <c r="N307" s="2" t="s">
        <v>101</v>
      </c>
      <c r="O307" s="2" t="s">
        <v>21</v>
      </c>
      <c r="P307" s="6">
        <f>T_CURSOS[[#This Row],[IMPORTE PROFESOR]]+T_CURSOS[[#This Row],[IMPORTE COMERCIAL]]</f>
        <v>397.5</v>
      </c>
      <c r="Q307" s="6">
        <f>T_CURSOS[[#This Row],[IMPORTE CLIENTE]]-T_CURSOS[[#This Row],[GASTO]]</f>
        <v>352.5</v>
      </c>
      <c r="R307" s="7">
        <f>T_CURSOS[[#This Row],[BENEFICIO]]/T_CURSOS[[#This Row],[IMPORTE CLIENTE]]</f>
        <v>0.47</v>
      </c>
    </row>
    <row r="308" spans="1:18" x14ac:dyDescent="0.2">
      <c r="A308" s="2" t="s">
        <v>360</v>
      </c>
      <c r="B308" s="3" t="s">
        <v>63</v>
      </c>
      <c r="C308" s="3">
        <v>35</v>
      </c>
      <c r="D308" s="3" t="s">
        <v>43</v>
      </c>
      <c r="E308" s="4">
        <v>2625</v>
      </c>
      <c r="F308" s="3" t="s">
        <v>44</v>
      </c>
      <c r="G308" s="4">
        <v>420</v>
      </c>
      <c r="H308" s="5">
        <v>43527</v>
      </c>
      <c r="I308" s="5" t="s">
        <v>19</v>
      </c>
      <c r="J308" s="3" t="s">
        <v>40</v>
      </c>
      <c r="K308" s="4">
        <v>393.75</v>
      </c>
      <c r="L308" s="3" t="s">
        <v>41</v>
      </c>
      <c r="M308" s="2" t="s">
        <v>45</v>
      </c>
      <c r="N308" s="2" t="s">
        <v>46</v>
      </c>
      <c r="O308" s="2" t="s">
        <v>21</v>
      </c>
      <c r="P308" s="6">
        <f>T_CURSOS[[#This Row],[IMPORTE PROFESOR]]+T_CURSOS[[#This Row],[IMPORTE COMERCIAL]]</f>
        <v>813.75</v>
      </c>
      <c r="Q308" s="6">
        <f>T_CURSOS[[#This Row],[IMPORTE CLIENTE]]-T_CURSOS[[#This Row],[GASTO]]</f>
        <v>1811.25</v>
      </c>
      <c r="R308" s="7">
        <f>T_CURSOS[[#This Row],[BENEFICIO]]/T_CURSOS[[#This Row],[IMPORTE CLIENTE]]</f>
        <v>0.69</v>
      </c>
    </row>
    <row r="309" spans="1:18" x14ac:dyDescent="0.2">
      <c r="A309" s="2" t="s">
        <v>361</v>
      </c>
      <c r="B309" s="3" t="s">
        <v>65</v>
      </c>
      <c r="C309" s="3">
        <v>40</v>
      </c>
      <c r="D309" s="3" t="s">
        <v>51</v>
      </c>
      <c r="E309" s="4">
        <v>2400</v>
      </c>
      <c r="F309" s="3" t="s">
        <v>27</v>
      </c>
      <c r="G309" s="4">
        <v>480</v>
      </c>
      <c r="H309" s="5">
        <v>43708</v>
      </c>
      <c r="I309" s="5" t="s">
        <v>19</v>
      </c>
      <c r="J309" s="3" t="s">
        <v>20</v>
      </c>
      <c r="K309" s="4">
        <v>288</v>
      </c>
      <c r="L309" s="3" t="s">
        <v>41</v>
      </c>
      <c r="M309" s="2" t="s">
        <v>45</v>
      </c>
      <c r="N309" s="2" t="s">
        <v>46</v>
      </c>
      <c r="O309" s="2" t="s">
        <v>21</v>
      </c>
      <c r="P309" s="6">
        <f>T_CURSOS[[#This Row],[IMPORTE PROFESOR]]+T_CURSOS[[#This Row],[IMPORTE COMERCIAL]]</f>
        <v>768</v>
      </c>
      <c r="Q309" s="6">
        <f>T_CURSOS[[#This Row],[IMPORTE CLIENTE]]-T_CURSOS[[#This Row],[GASTO]]</f>
        <v>1632</v>
      </c>
      <c r="R309" s="7">
        <f>T_CURSOS[[#This Row],[BENEFICIO]]/T_CURSOS[[#This Row],[IMPORTE CLIENTE]]</f>
        <v>0.68</v>
      </c>
    </row>
    <row r="310" spans="1:18" x14ac:dyDescent="0.2">
      <c r="A310" s="2" t="s">
        <v>362</v>
      </c>
      <c r="B310" s="3" t="s">
        <v>65</v>
      </c>
      <c r="C310" s="3">
        <v>40</v>
      </c>
      <c r="D310" s="3" t="s">
        <v>61</v>
      </c>
      <c r="E310" s="4">
        <v>2400</v>
      </c>
      <c r="F310" s="3" t="s">
        <v>35</v>
      </c>
      <c r="G310" s="4">
        <v>480</v>
      </c>
      <c r="H310" s="5">
        <v>44480</v>
      </c>
      <c r="I310" s="5" t="s">
        <v>19</v>
      </c>
      <c r="J310" s="3" t="s">
        <v>29</v>
      </c>
      <c r="K310" s="4">
        <v>288</v>
      </c>
      <c r="L310" s="3" t="s">
        <v>21</v>
      </c>
      <c r="M310" s="2" t="s">
        <v>22</v>
      </c>
      <c r="N310" s="2" t="s">
        <v>101</v>
      </c>
      <c r="O310" s="2" t="s">
        <v>21</v>
      </c>
      <c r="P310" s="6">
        <f>T_CURSOS[[#This Row],[IMPORTE PROFESOR]]+T_CURSOS[[#This Row],[IMPORTE COMERCIAL]]</f>
        <v>768</v>
      </c>
      <c r="Q310" s="6">
        <f>T_CURSOS[[#This Row],[IMPORTE CLIENTE]]-T_CURSOS[[#This Row],[GASTO]]</f>
        <v>1632</v>
      </c>
      <c r="R310" s="7">
        <f>T_CURSOS[[#This Row],[BENEFICIO]]/T_CURSOS[[#This Row],[IMPORTE CLIENTE]]</f>
        <v>0.68</v>
      </c>
    </row>
    <row r="311" spans="1:18" x14ac:dyDescent="0.2">
      <c r="A311" s="2" t="s">
        <v>363</v>
      </c>
      <c r="B311" s="3" t="s">
        <v>65</v>
      </c>
      <c r="C311" s="3">
        <v>35</v>
      </c>
      <c r="D311" s="3" t="s">
        <v>38</v>
      </c>
      <c r="E311" s="4">
        <v>2100</v>
      </c>
      <c r="F311" s="3" t="s">
        <v>39</v>
      </c>
      <c r="G311" s="4">
        <v>420</v>
      </c>
      <c r="H311" s="5">
        <v>44337</v>
      </c>
      <c r="I311" s="5" t="s">
        <v>19</v>
      </c>
      <c r="J311" s="3" t="s">
        <v>36</v>
      </c>
      <c r="K311" s="4">
        <v>252</v>
      </c>
      <c r="L311" s="3" t="s">
        <v>41</v>
      </c>
      <c r="M311" s="2" t="s">
        <v>30</v>
      </c>
      <c r="N311" s="2" t="s">
        <v>31</v>
      </c>
      <c r="O311" s="2" t="s">
        <v>21</v>
      </c>
      <c r="P311" s="6">
        <f>T_CURSOS[[#This Row],[IMPORTE PROFESOR]]+T_CURSOS[[#This Row],[IMPORTE COMERCIAL]]</f>
        <v>672</v>
      </c>
      <c r="Q311" s="6">
        <f>T_CURSOS[[#This Row],[IMPORTE CLIENTE]]-T_CURSOS[[#This Row],[GASTO]]</f>
        <v>1428</v>
      </c>
      <c r="R311" s="7">
        <f>T_CURSOS[[#This Row],[BENEFICIO]]/T_CURSOS[[#This Row],[IMPORTE CLIENTE]]</f>
        <v>0.68</v>
      </c>
    </row>
    <row r="312" spans="1:18" x14ac:dyDescent="0.2">
      <c r="A312" s="2" t="s">
        <v>364</v>
      </c>
      <c r="B312" s="3" t="s">
        <v>33</v>
      </c>
      <c r="C312" s="3">
        <v>45</v>
      </c>
      <c r="D312" s="3" t="s">
        <v>43</v>
      </c>
      <c r="E312" s="4">
        <v>1800</v>
      </c>
      <c r="F312" s="3" t="s">
        <v>44</v>
      </c>
      <c r="G312" s="4">
        <v>540</v>
      </c>
      <c r="H312" s="5">
        <v>44425</v>
      </c>
      <c r="I312" s="5" t="s">
        <v>28</v>
      </c>
      <c r="J312" s="3" t="s">
        <v>40</v>
      </c>
      <c r="K312" s="4">
        <v>180</v>
      </c>
      <c r="L312" s="3" t="s">
        <v>41</v>
      </c>
      <c r="M312" s="2" t="s">
        <v>45</v>
      </c>
      <c r="N312" s="2" t="s">
        <v>46</v>
      </c>
      <c r="O312" s="2" t="s">
        <v>21</v>
      </c>
      <c r="P312" s="6">
        <f>T_CURSOS[[#This Row],[IMPORTE PROFESOR]]+T_CURSOS[[#This Row],[IMPORTE COMERCIAL]]</f>
        <v>720</v>
      </c>
      <c r="Q312" s="6">
        <f>T_CURSOS[[#This Row],[IMPORTE CLIENTE]]-T_CURSOS[[#This Row],[GASTO]]</f>
        <v>1080</v>
      </c>
      <c r="R312" s="7">
        <f>T_CURSOS[[#This Row],[BENEFICIO]]/T_CURSOS[[#This Row],[IMPORTE CLIENTE]]</f>
        <v>0.6</v>
      </c>
    </row>
    <row r="313" spans="1:18" x14ac:dyDescent="0.2">
      <c r="A313" s="2" t="s">
        <v>365</v>
      </c>
      <c r="B313" s="3" t="s">
        <v>16</v>
      </c>
      <c r="C313" s="3">
        <v>25</v>
      </c>
      <c r="D313" s="3" t="s">
        <v>51</v>
      </c>
      <c r="E313" s="4">
        <v>625</v>
      </c>
      <c r="F313" s="3" t="s">
        <v>27</v>
      </c>
      <c r="G313" s="4">
        <v>300</v>
      </c>
      <c r="H313" s="5">
        <v>44400</v>
      </c>
      <c r="I313" s="5" t="s">
        <v>28</v>
      </c>
      <c r="J313" s="3" t="s">
        <v>29</v>
      </c>
      <c r="K313" s="4">
        <v>43.75</v>
      </c>
      <c r="L313" s="3" t="s">
        <v>21</v>
      </c>
      <c r="M313" s="2" t="s">
        <v>45</v>
      </c>
      <c r="N313" s="2" t="s">
        <v>46</v>
      </c>
      <c r="O313" s="2" t="s">
        <v>21</v>
      </c>
      <c r="P313" s="6">
        <f>T_CURSOS[[#This Row],[IMPORTE PROFESOR]]+T_CURSOS[[#This Row],[IMPORTE COMERCIAL]]</f>
        <v>343.75</v>
      </c>
      <c r="Q313" s="6">
        <f>T_CURSOS[[#This Row],[IMPORTE CLIENTE]]-T_CURSOS[[#This Row],[GASTO]]</f>
        <v>281.25</v>
      </c>
      <c r="R313" s="7">
        <f>T_CURSOS[[#This Row],[BENEFICIO]]/T_CURSOS[[#This Row],[IMPORTE CLIENTE]]</f>
        <v>0.45</v>
      </c>
    </row>
    <row r="314" spans="1:18" x14ac:dyDescent="0.2">
      <c r="A314" s="2" t="s">
        <v>366</v>
      </c>
      <c r="B314" s="3" t="s">
        <v>16</v>
      </c>
      <c r="C314" s="3">
        <v>20</v>
      </c>
      <c r="D314" s="3" t="s">
        <v>34</v>
      </c>
      <c r="E314" s="4">
        <v>500</v>
      </c>
      <c r="F314" s="3" t="s">
        <v>35</v>
      </c>
      <c r="G314" s="4">
        <v>240</v>
      </c>
      <c r="H314" s="5">
        <v>44069</v>
      </c>
      <c r="I314" s="5" t="s">
        <v>19</v>
      </c>
      <c r="J314" s="3" t="s">
        <v>36</v>
      </c>
      <c r="K314" s="4">
        <v>35</v>
      </c>
      <c r="L314" s="3" t="s">
        <v>41</v>
      </c>
      <c r="M314" s="2" t="s">
        <v>22</v>
      </c>
      <c r="N314" s="2" t="s">
        <v>101</v>
      </c>
      <c r="O314" s="2" t="s">
        <v>21</v>
      </c>
      <c r="P314" s="6">
        <f>T_CURSOS[[#This Row],[IMPORTE PROFESOR]]+T_CURSOS[[#This Row],[IMPORTE COMERCIAL]]</f>
        <v>275</v>
      </c>
      <c r="Q314" s="6">
        <f>T_CURSOS[[#This Row],[IMPORTE CLIENTE]]-T_CURSOS[[#This Row],[GASTO]]</f>
        <v>225</v>
      </c>
      <c r="R314" s="7">
        <f>T_CURSOS[[#This Row],[BENEFICIO]]/T_CURSOS[[#This Row],[IMPORTE CLIENTE]]</f>
        <v>0.45</v>
      </c>
    </row>
    <row r="315" spans="1:18" x14ac:dyDescent="0.2">
      <c r="A315" s="2" t="s">
        <v>367</v>
      </c>
      <c r="B315" s="3" t="s">
        <v>16</v>
      </c>
      <c r="C315" s="3">
        <v>10</v>
      </c>
      <c r="D315" s="3" t="s">
        <v>56</v>
      </c>
      <c r="E315" s="4">
        <v>250</v>
      </c>
      <c r="F315" s="3" t="s">
        <v>18</v>
      </c>
      <c r="G315" s="4">
        <v>120</v>
      </c>
      <c r="H315" s="5">
        <v>43468</v>
      </c>
      <c r="I315" s="5" t="s">
        <v>28</v>
      </c>
      <c r="J315" s="3" t="s">
        <v>40</v>
      </c>
      <c r="K315" s="4">
        <v>17.5</v>
      </c>
      <c r="L315" s="3" t="s">
        <v>21</v>
      </c>
      <c r="M315" s="2" t="s">
        <v>22</v>
      </c>
      <c r="N315" s="2" t="s">
        <v>73</v>
      </c>
      <c r="O315" s="2" t="s">
        <v>21</v>
      </c>
      <c r="P315" s="6">
        <f>T_CURSOS[[#This Row],[IMPORTE PROFESOR]]+T_CURSOS[[#This Row],[IMPORTE COMERCIAL]]</f>
        <v>137.5</v>
      </c>
      <c r="Q315" s="6">
        <f>T_CURSOS[[#This Row],[IMPORTE CLIENTE]]-T_CURSOS[[#This Row],[GASTO]]</f>
        <v>112.5</v>
      </c>
      <c r="R315" s="7">
        <f>T_CURSOS[[#This Row],[BENEFICIO]]/T_CURSOS[[#This Row],[IMPORTE CLIENTE]]</f>
        <v>0.45</v>
      </c>
    </row>
    <row r="316" spans="1:18" x14ac:dyDescent="0.2">
      <c r="A316" s="2" t="s">
        <v>368</v>
      </c>
      <c r="B316" s="3" t="s">
        <v>25</v>
      </c>
      <c r="C316" s="3">
        <v>12</v>
      </c>
      <c r="D316" s="3" t="s">
        <v>56</v>
      </c>
      <c r="E316" s="4">
        <v>360</v>
      </c>
      <c r="F316" s="3" t="s">
        <v>27</v>
      </c>
      <c r="G316" s="4">
        <v>144</v>
      </c>
      <c r="H316" s="5">
        <v>44409</v>
      </c>
      <c r="I316" s="5" t="s">
        <v>19</v>
      </c>
      <c r="J316" s="3" t="s">
        <v>20</v>
      </c>
      <c r="K316" s="4">
        <v>28.8</v>
      </c>
      <c r="L316" s="3" t="s">
        <v>21</v>
      </c>
      <c r="M316" s="2" t="s">
        <v>22</v>
      </c>
      <c r="N316" s="2" t="s">
        <v>73</v>
      </c>
      <c r="O316" s="2" t="s">
        <v>21</v>
      </c>
      <c r="P316" s="6">
        <f>T_CURSOS[[#This Row],[IMPORTE PROFESOR]]+T_CURSOS[[#This Row],[IMPORTE COMERCIAL]]</f>
        <v>172.8</v>
      </c>
      <c r="Q316" s="6">
        <f>T_CURSOS[[#This Row],[IMPORTE CLIENTE]]-T_CURSOS[[#This Row],[GASTO]]</f>
        <v>187.2</v>
      </c>
      <c r="R316" s="7">
        <f>T_CURSOS[[#This Row],[BENEFICIO]]/T_CURSOS[[#This Row],[IMPORTE CLIENTE]]</f>
        <v>0.52</v>
      </c>
    </row>
    <row r="317" spans="1:18" x14ac:dyDescent="0.2">
      <c r="A317" s="2" t="s">
        <v>369</v>
      </c>
      <c r="B317" s="3" t="s">
        <v>25</v>
      </c>
      <c r="C317" s="3">
        <v>15</v>
      </c>
      <c r="D317" s="3" t="s">
        <v>51</v>
      </c>
      <c r="E317" s="4">
        <v>450</v>
      </c>
      <c r="F317" s="3" t="s">
        <v>35</v>
      </c>
      <c r="G317" s="4">
        <v>180</v>
      </c>
      <c r="H317" s="5">
        <v>43471</v>
      </c>
      <c r="I317" s="5" t="s">
        <v>19</v>
      </c>
      <c r="J317" s="3" t="s">
        <v>29</v>
      </c>
      <c r="K317" s="4">
        <v>36</v>
      </c>
      <c r="L317" s="3" t="s">
        <v>41</v>
      </c>
      <c r="M317" s="2" t="s">
        <v>45</v>
      </c>
      <c r="N317" s="2" t="s">
        <v>46</v>
      </c>
      <c r="O317" s="2" t="s">
        <v>21</v>
      </c>
      <c r="P317" s="6">
        <f>T_CURSOS[[#This Row],[IMPORTE PROFESOR]]+T_CURSOS[[#This Row],[IMPORTE COMERCIAL]]</f>
        <v>216</v>
      </c>
      <c r="Q317" s="6">
        <f>T_CURSOS[[#This Row],[IMPORTE CLIENTE]]-T_CURSOS[[#This Row],[GASTO]]</f>
        <v>234</v>
      </c>
      <c r="R317" s="7">
        <f>T_CURSOS[[#This Row],[BENEFICIO]]/T_CURSOS[[#This Row],[IMPORTE CLIENTE]]</f>
        <v>0.52</v>
      </c>
    </row>
    <row r="318" spans="1:18" x14ac:dyDescent="0.2">
      <c r="A318" s="2" t="s">
        <v>370</v>
      </c>
      <c r="B318" s="3" t="s">
        <v>25</v>
      </c>
      <c r="C318" s="3">
        <v>20</v>
      </c>
      <c r="D318" s="3" t="s">
        <v>43</v>
      </c>
      <c r="E318" s="4">
        <v>600</v>
      </c>
      <c r="F318" s="3" t="s">
        <v>39</v>
      </c>
      <c r="G318" s="4">
        <v>240</v>
      </c>
      <c r="H318" s="5">
        <v>44230</v>
      </c>
      <c r="I318" s="5" t="s">
        <v>19</v>
      </c>
      <c r="J318" s="3" t="s">
        <v>36</v>
      </c>
      <c r="K318" s="4">
        <v>48</v>
      </c>
      <c r="L318" s="3" t="s">
        <v>41</v>
      </c>
      <c r="M318" s="2" t="s">
        <v>45</v>
      </c>
      <c r="N318" s="2" t="s">
        <v>46</v>
      </c>
      <c r="O318" s="2" t="s">
        <v>21</v>
      </c>
      <c r="P318" s="6">
        <f>T_CURSOS[[#This Row],[IMPORTE PROFESOR]]+T_CURSOS[[#This Row],[IMPORTE COMERCIAL]]</f>
        <v>288</v>
      </c>
      <c r="Q318" s="6">
        <f>T_CURSOS[[#This Row],[IMPORTE CLIENTE]]-T_CURSOS[[#This Row],[GASTO]]</f>
        <v>312</v>
      </c>
      <c r="R318" s="7">
        <f>T_CURSOS[[#This Row],[BENEFICIO]]/T_CURSOS[[#This Row],[IMPORTE CLIENTE]]</f>
        <v>0.52</v>
      </c>
    </row>
    <row r="319" spans="1:18" x14ac:dyDescent="0.2">
      <c r="A319" s="2" t="s">
        <v>371</v>
      </c>
      <c r="B319" s="3" t="s">
        <v>53</v>
      </c>
      <c r="C319" s="3">
        <v>25</v>
      </c>
      <c r="D319" s="3" t="s">
        <v>61</v>
      </c>
      <c r="E319" s="4">
        <v>625</v>
      </c>
      <c r="F319" s="3" t="s">
        <v>44</v>
      </c>
      <c r="G319" s="4">
        <v>300</v>
      </c>
      <c r="H319" s="5">
        <v>43768</v>
      </c>
      <c r="I319" s="5" t="s">
        <v>19</v>
      </c>
      <c r="J319" s="3" t="s">
        <v>20</v>
      </c>
      <c r="K319" s="4">
        <v>31.25</v>
      </c>
      <c r="L319" s="3" t="s">
        <v>21</v>
      </c>
      <c r="M319" s="2" t="s">
        <v>22</v>
      </c>
      <c r="N319" s="2" t="s">
        <v>73</v>
      </c>
      <c r="O319" s="2" t="s">
        <v>21</v>
      </c>
      <c r="P319" s="6">
        <f>T_CURSOS[[#This Row],[IMPORTE PROFESOR]]+T_CURSOS[[#This Row],[IMPORTE COMERCIAL]]</f>
        <v>331.25</v>
      </c>
      <c r="Q319" s="6">
        <f>T_CURSOS[[#This Row],[IMPORTE CLIENTE]]-T_CURSOS[[#This Row],[GASTO]]</f>
        <v>293.75</v>
      </c>
      <c r="R319" s="7">
        <f>T_CURSOS[[#This Row],[BENEFICIO]]/T_CURSOS[[#This Row],[IMPORTE CLIENTE]]</f>
        <v>0.47</v>
      </c>
    </row>
    <row r="320" spans="1:18" x14ac:dyDescent="0.2">
      <c r="A320" s="2" t="s">
        <v>372</v>
      </c>
      <c r="B320" s="3" t="s">
        <v>55</v>
      </c>
      <c r="C320" s="3">
        <v>30</v>
      </c>
      <c r="D320" s="3" t="s">
        <v>61</v>
      </c>
      <c r="E320" s="4">
        <v>750</v>
      </c>
      <c r="F320" s="3" t="s">
        <v>27</v>
      </c>
      <c r="G320" s="4">
        <v>360</v>
      </c>
      <c r="H320" s="5">
        <v>43935</v>
      </c>
      <c r="I320" s="5" t="s">
        <v>28</v>
      </c>
      <c r="J320" s="3" t="s">
        <v>29</v>
      </c>
      <c r="K320" s="4">
        <v>37.5</v>
      </c>
      <c r="L320" s="3" t="s">
        <v>21</v>
      </c>
      <c r="M320" s="2" t="s">
        <v>22</v>
      </c>
      <c r="N320" s="2" t="s">
        <v>73</v>
      </c>
      <c r="O320" s="2" t="s">
        <v>21</v>
      </c>
      <c r="P320" s="6">
        <f>T_CURSOS[[#This Row],[IMPORTE PROFESOR]]+T_CURSOS[[#This Row],[IMPORTE COMERCIAL]]</f>
        <v>397.5</v>
      </c>
      <c r="Q320" s="6">
        <f>T_CURSOS[[#This Row],[IMPORTE CLIENTE]]-T_CURSOS[[#This Row],[GASTO]]</f>
        <v>352.5</v>
      </c>
      <c r="R320" s="7">
        <f>T_CURSOS[[#This Row],[BENEFICIO]]/T_CURSOS[[#This Row],[IMPORTE CLIENTE]]</f>
        <v>0.47</v>
      </c>
    </row>
    <row r="321" spans="1:18" x14ac:dyDescent="0.2">
      <c r="A321" s="2" t="s">
        <v>373</v>
      </c>
      <c r="B321" s="3" t="s">
        <v>55</v>
      </c>
      <c r="C321" s="3">
        <v>40</v>
      </c>
      <c r="D321" s="3" t="s">
        <v>56</v>
      </c>
      <c r="E321" s="4">
        <v>1000</v>
      </c>
      <c r="F321" s="3" t="s">
        <v>35</v>
      </c>
      <c r="G321" s="4">
        <v>480</v>
      </c>
      <c r="H321" s="5">
        <v>43640</v>
      </c>
      <c r="I321" s="5" t="s">
        <v>28</v>
      </c>
      <c r="J321" s="3" t="s">
        <v>36</v>
      </c>
      <c r="K321" s="4">
        <v>50</v>
      </c>
      <c r="L321" s="3" t="s">
        <v>21</v>
      </c>
      <c r="M321" s="2" t="s">
        <v>22</v>
      </c>
      <c r="N321" s="2" t="s">
        <v>73</v>
      </c>
      <c r="O321" s="2" t="s">
        <v>21</v>
      </c>
      <c r="P321" s="6">
        <f>T_CURSOS[[#This Row],[IMPORTE PROFESOR]]+T_CURSOS[[#This Row],[IMPORTE COMERCIAL]]</f>
        <v>530</v>
      </c>
      <c r="Q321" s="6">
        <f>T_CURSOS[[#This Row],[IMPORTE CLIENTE]]-T_CURSOS[[#This Row],[GASTO]]</f>
        <v>470</v>
      </c>
      <c r="R321" s="7">
        <f>T_CURSOS[[#This Row],[BENEFICIO]]/T_CURSOS[[#This Row],[IMPORTE CLIENTE]]</f>
        <v>0.47</v>
      </c>
    </row>
    <row r="322" spans="1:18" x14ac:dyDescent="0.2">
      <c r="A322" s="2" t="s">
        <v>374</v>
      </c>
      <c r="B322" s="3" t="s">
        <v>55</v>
      </c>
      <c r="C322" s="3">
        <v>35</v>
      </c>
      <c r="D322" s="3" t="s">
        <v>43</v>
      </c>
      <c r="E322" s="4">
        <v>875</v>
      </c>
      <c r="F322" s="3" t="s">
        <v>39</v>
      </c>
      <c r="G322" s="4">
        <v>420</v>
      </c>
      <c r="H322" s="5">
        <v>44094</v>
      </c>
      <c r="I322" s="5" t="s">
        <v>28</v>
      </c>
      <c r="J322" s="3" t="s">
        <v>40</v>
      </c>
      <c r="K322" s="4">
        <v>43.75</v>
      </c>
      <c r="L322" s="3" t="s">
        <v>21</v>
      </c>
      <c r="M322" s="2" t="s">
        <v>45</v>
      </c>
      <c r="N322" s="2" t="s">
        <v>82</v>
      </c>
      <c r="O322" s="2" t="s">
        <v>41</v>
      </c>
      <c r="P322" s="6">
        <f>T_CURSOS[[#This Row],[IMPORTE PROFESOR]]+T_CURSOS[[#This Row],[IMPORTE COMERCIAL]]</f>
        <v>463.75</v>
      </c>
      <c r="Q322" s="6">
        <f>T_CURSOS[[#This Row],[IMPORTE CLIENTE]]-T_CURSOS[[#This Row],[GASTO]]</f>
        <v>411.25</v>
      </c>
      <c r="R322" s="7">
        <f>T_CURSOS[[#This Row],[BENEFICIO]]/T_CURSOS[[#This Row],[IMPORTE CLIENTE]]</f>
        <v>0.47</v>
      </c>
    </row>
    <row r="323" spans="1:18" x14ac:dyDescent="0.2">
      <c r="A323" s="2" t="s">
        <v>375</v>
      </c>
      <c r="B323" s="3" t="s">
        <v>53</v>
      </c>
      <c r="C323" s="3">
        <v>45</v>
      </c>
      <c r="D323" s="3" t="s">
        <v>38</v>
      </c>
      <c r="E323" s="4">
        <v>1125</v>
      </c>
      <c r="F323" s="3" t="s">
        <v>18</v>
      </c>
      <c r="G323" s="4">
        <v>540</v>
      </c>
      <c r="H323" s="5">
        <v>43853</v>
      </c>
      <c r="I323" s="5" t="s">
        <v>28</v>
      </c>
      <c r="J323" s="3" t="s">
        <v>20</v>
      </c>
      <c r="K323" s="4">
        <v>56.25</v>
      </c>
      <c r="L323" s="3" t="s">
        <v>41</v>
      </c>
      <c r="M323" s="2" t="s">
        <v>30</v>
      </c>
      <c r="N323" s="2" t="s">
        <v>31</v>
      </c>
      <c r="O323" s="2" t="s">
        <v>41</v>
      </c>
      <c r="P323" s="6">
        <f>T_CURSOS[[#This Row],[IMPORTE PROFESOR]]+T_CURSOS[[#This Row],[IMPORTE COMERCIAL]]</f>
        <v>596.25</v>
      </c>
      <c r="Q323" s="6">
        <f>T_CURSOS[[#This Row],[IMPORTE CLIENTE]]-T_CURSOS[[#This Row],[GASTO]]</f>
        <v>528.75</v>
      </c>
      <c r="R323" s="7">
        <f>T_CURSOS[[#This Row],[BENEFICIO]]/T_CURSOS[[#This Row],[IMPORTE CLIENTE]]</f>
        <v>0.47</v>
      </c>
    </row>
    <row r="324" spans="1:18" x14ac:dyDescent="0.2">
      <c r="A324" s="2" t="s">
        <v>376</v>
      </c>
      <c r="B324" s="3" t="s">
        <v>63</v>
      </c>
      <c r="C324" s="3">
        <v>18</v>
      </c>
      <c r="D324" s="3" t="s">
        <v>43</v>
      </c>
      <c r="E324" s="4">
        <v>1350</v>
      </c>
      <c r="F324" s="3" t="s">
        <v>27</v>
      </c>
      <c r="G324" s="4">
        <v>216</v>
      </c>
      <c r="H324" s="5">
        <v>43749</v>
      </c>
      <c r="I324" s="5" t="s">
        <v>57</v>
      </c>
      <c r="J324" s="3" t="s">
        <v>29</v>
      </c>
      <c r="K324" s="4">
        <v>202.5</v>
      </c>
      <c r="L324" s="3" t="s">
        <v>21</v>
      </c>
      <c r="M324" s="2" t="s">
        <v>45</v>
      </c>
      <c r="N324" s="2" t="s">
        <v>82</v>
      </c>
      <c r="O324" s="2" t="s">
        <v>21</v>
      </c>
      <c r="P324" s="6">
        <f>T_CURSOS[[#This Row],[IMPORTE PROFESOR]]+T_CURSOS[[#This Row],[IMPORTE COMERCIAL]]</f>
        <v>418.5</v>
      </c>
      <c r="Q324" s="6">
        <f>T_CURSOS[[#This Row],[IMPORTE CLIENTE]]-T_CURSOS[[#This Row],[GASTO]]</f>
        <v>931.5</v>
      </c>
      <c r="R324" s="7">
        <f>T_CURSOS[[#This Row],[BENEFICIO]]/T_CURSOS[[#This Row],[IMPORTE CLIENTE]]</f>
        <v>0.69</v>
      </c>
    </row>
    <row r="325" spans="1:18" x14ac:dyDescent="0.2">
      <c r="A325" s="2" t="s">
        <v>377</v>
      </c>
      <c r="B325" s="3" t="s">
        <v>65</v>
      </c>
      <c r="C325" s="3">
        <v>10</v>
      </c>
      <c r="D325" s="3" t="s">
        <v>34</v>
      </c>
      <c r="E325" s="4">
        <v>600</v>
      </c>
      <c r="F325" s="3" t="s">
        <v>35</v>
      </c>
      <c r="G325" s="4">
        <v>120</v>
      </c>
      <c r="H325" s="5">
        <v>44185</v>
      </c>
      <c r="I325" s="5" t="s">
        <v>57</v>
      </c>
      <c r="J325" s="3" t="s">
        <v>36</v>
      </c>
      <c r="K325" s="4">
        <v>72</v>
      </c>
      <c r="L325" s="3" t="s">
        <v>21</v>
      </c>
      <c r="M325" s="2" t="s">
        <v>22</v>
      </c>
      <c r="N325" s="2" t="s">
        <v>73</v>
      </c>
      <c r="O325" s="2" t="s">
        <v>21</v>
      </c>
      <c r="P325" s="6">
        <f>T_CURSOS[[#This Row],[IMPORTE PROFESOR]]+T_CURSOS[[#This Row],[IMPORTE COMERCIAL]]</f>
        <v>192</v>
      </c>
      <c r="Q325" s="6">
        <f>T_CURSOS[[#This Row],[IMPORTE CLIENTE]]-T_CURSOS[[#This Row],[GASTO]]</f>
        <v>408</v>
      </c>
      <c r="R325" s="7">
        <f>T_CURSOS[[#This Row],[BENEFICIO]]/T_CURSOS[[#This Row],[IMPORTE CLIENTE]]</f>
        <v>0.68</v>
      </c>
    </row>
    <row r="326" spans="1:18" x14ac:dyDescent="0.2">
      <c r="A326" s="2" t="s">
        <v>378</v>
      </c>
      <c r="B326" s="3" t="s">
        <v>65</v>
      </c>
      <c r="C326" s="3">
        <v>45</v>
      </c>
      <c r="D326" s="3" t="s">
        <v>38</v>
      </c>
      <c r="E326" s="4">
        <v>2700</v>
      </c>
      <c r="F326" s="3" t="s">
        <v>39</v>
      </c>
      <c r="G326" s="4">
        <v>540</v>
      </c>
      <c r="H326" s="5">
        <v>44380</v>
      </c>
      <c r="I326" s="5" t="s">
        <v>57</v>
      </c>
      <c r="J326" s="3" t="s">
        <v>40</v>
      </c>
      <c r="K326" s="4">
        <v>324</v>
      </c>
      <c r="L326" s="3" t="s">
        <v>21</v>
      </c>
      <c r="M326" s="2" t="s">
        <v>30</v>
      </c>
      <c r="N326" s="2" t="s">
        <v>31</v>
      </c>
      <c r="O326" s="2" t="s">
        <v>41</v>
      </c>
      <c r="P326" s="6">
        <f>T_CURSOS[[#This Row],[IMPORTE PROFESOR]]+T_CURSOS[[#This Row],[IMPORTE COMERCIAL]]</f>
        <v>864</v>
      </c>
      <c r="Q326" s="6">
        <f>T_CURSOS[[#This Row],[IMPORTE CLIENTE]]-T_CURSOS[[#This Row],[GASTO]]</f>
        <v>1836</v>
      </c>
      <c r="R326" s="7">
        <f>T_CURSOS[[#This Row],[BENEFICIO]]/T_CURSOS[[#This Row],[IMPORTE CLIENTE]]</f>
        <v>0.68</v>
      </c>
    </row>
    <row r="327" spans="1:18" x14ac:dyDescent="0.2">
      <c r="A327" s="2" t="s">
        <v>379</v>
      </c>
      <c r="B327" s="3" t="s">
        <v>65</v>
      </c>
      <c r="C327" s="3">
        <v>25</v>
      </c>
      <c r="D327" s="3" t="s">
        <v>43</v>
      </c>
      <c r="E327" s="4">
        <v>1500</v>
      </c>
      <c r="F327" s="3" t="s">
        <v>44</v>
      </c>
      <c r="G327" s="4">
        <v>300</v>
      </c>
      <c r="H327" s="5">
        <v>44142</v>
      </c>
      <c r="I327" s="5" t="s">
        <v>28</v>
      </c>
      <c r="J327" s="3" t="s">
        <v>29</v>
      </c>
      <c r="K327" s="4">
        <v>180</v>
      </c>
      <c r="L327" s="3" t="s">
        <v>21</v>
      </c>
      <c r="M327" s="2" t="s">
        <v>45</v>
      </c>
      <c r="N327" s="2" t="s">
        <v>82</v>
      </c>
      <c r="O327" s="2" t="s">
        <v>21</v>
      </c>
      <c r="P327" s="6">
        <f>T_CURSOS[[#This Row],[IMPORTE PROFESOR]]+T_CURSOS[[#This Row],[IMPORTE COMERCIAL]]</f>
        <v>480</v>
      </c>
      <c r="Q327" s="6">
        <f>T_CURSOS[[#This Row],[IMPORTE CLIENTE]]-T_CURSOS[[#This Row],[GASTO]]</f>
        <v>1020</v>
      </c>
      <c r="R327" s="7">
        <f>T_CURSOS[[#This Row],[BENEFICIO]]/T_CURSOS[[#This Row],[IMPORTE CLIENTE]]</f>
        <v>0.68</v>
      </c>
    </row>
    <row r="328" spans="1:18" x14ac:dyDescent="0.2">
      <c r="A328" s="2" t="s">
        <v>380</v>
      </c>
      <c r="B328" s="3" t="s">
        <v>33</v>
      </c>
      <c r="C328" s="3">
        <v>20</v>
      </c>
      <c r="D328" s="3" t="s">
        <v>38</v>
      </c>
      <c r="E328" s="4">
        <v>800</v>
      </c>
      <c r="F328" s="3" t="s">
        <v>27</v>
      </c>
      <c r="G328" s="4">
        <v>240</v>
      </c>
      <c r="H328" s="5">
        <v>43933</v>
      </c>
      <c r="I328" s="5" t="s">
        <v>28</v>
      </c>
      <c r="J328" s="3" t="s">
        <v>36</v>
      </c>
      <c r="K328" s="4">
        <v>80</v>
      </c>
      <c r="L328" s="3" t="s">
        <v>21</v>
      </c>
      <c r="M328" s="2" t="s">
        <v>30</v>
      </c>
      <c r="N328" s="2" t="s">
        <v>31</v>
      </c>
      <c r="O328" s="2" t="s">
        <v>21</v>
      </c>
      <c r="P328" s="6">
        <f>T_CURSOS[[#This Row],[IMPORTE PROFESOR]]+T_CURSOS[[#This Row],[IMPORTE COMERCIAL]]</f>
        <v>320</v>
      </c>
      <c r="Q328" s="6">
        <f>T_CURSOS[[#This Row],[IMPORTE CLIENTE]]-T_CURSOS[[#This Row],[GASTO]]</f>
        <v>480</v>
      </c>
      <c r="R328" s="7">
        <f>T_CURSOS[[#This Row],[BENEFICIO]]/T_CURSOS[[#This Row],[IMPORTE CLIENTE]]</f>
        <v>0.6</v>
      </c>
    </row>
    <row r="329" spans="1:18" x14ac:dyDescent="0.2">
      <c r="A329" s="2" t="s">
        <v>381</v>
      </c>
      <c r="B329" s="3" t="s">
        <v>33</v>
      </c>
      <c r="C329" s="3">
        <v>10</v>
      </c>
      <c r="D329" s="3" t="s">
        <v>34</v>
      </c>
      <c r="E329" s="4">
        <v>400</v>
      </c>
      <c r="F329" s="3" t="s">
        <v>35</v>
      </c>
      <c r="G329" s="4">
        <v>120</v>
      </c>
      <c r="H329" s="5">
        <v>43877</v>
      </c>
      <c r="I329" s="5" t="s">
        <v>28</v>
      </c>
      <c r="J329" s="3" t="s">
        <v>40</v>
      </c>
      <c r="K329" s="4">
        <v>40</v>
      </c>
      <c r="L329" s="3" t="s">
        <v>21</v>
      </c>
      <c r="M329" s="2" t="s">
        <v>22</v>
      </c>
      <c r="N329" s="2" t="s">
        <v>73</v>
      </c>
      <c r="O329" s="2" t="s">
        <v>41</v>
      </c>
      <c r="P329" s="6">
        <f>T_CURSOS[[#This Row],[IMPORTE PROFESOR]]+T_CURSOS[[#This Row],[IMPORTE COMERCIAL]]</f>
        <v>160</v>
      </c>
      <c r="Q329" s="6">
        <f>T_CURSOS[[#This Row],[IMPORTE CLIENTE]]-T_CURSOS[[#This Row],[GASTO]]</f>
        <v>240</v>
      </c>
      <c r="R329" s="7">
        <f>T_CURSOS[[#This Row],[BENEFICIO]]/T_CURSOS[[#This Row],[IMPORTE CLIENTE]]</f>
        <v>0.6</v>
      </c>
    </row>
    <row r="330" spans="1:18" x14ac:dyDescent="0.2">
      <c r="A330" s="2" t="s">
        <v>382</v>
      </c>
      <c r="B330" s="3" t="s">
        <v>33</v>
      </c>
      <c r="C330" s="3">
        <v>12</v>
      </c>
      <c r="D330" s="3" t="s">
        <v>38</v>
      </c>
      <c r="E330" s="4">
        <v>480</v>
      </c>
      <c r="F330" s="3" t="s">
        <v>18</v>
      </c>
      <c r="G330" s="4">
        <v>144</v>
      </c>
      <c r="H330" s="5">
        <v>43971</v>
      </c>
      <c r="I330" s="5" t="s">
        <v>28</v>
      </c>
      <c r="J330" s="3" t="s">
        <v>20</v>
      </c>
      <c r="K330" s="4">
        <v>48</v>
      </c>
      <c r="L330" s="3" t="s">
        <v>21</v>
      </c>
      <c r="M330" s="2" t="s">
        <v>30</v>
      </c>
      <c r="N330" s="2" t="s">
        <v>31</v>
      </c>
      <c r="O330" s="2" t="s">
        <v>41</v>
      </c>
      <c r="P330" s="6">
        <f>T_CURSOS[[#This Row],[IMPORTE PROFESOR]]+T_CURSOS[[#This Row],[IMPORTE COMERCIAL]]</f>
        <v>192</v>
      </c>
      <c r="Q330" s="6">
        <f>T_CURSOS[[#This Row],[IMPORTE CLIENTE]]-T_CURSOS[[#This Row],[GASTO]]</f>
        <v>288</v>
      </c>
      <c r="R330" s="7">
        <f>T_CURSOS[[#This Row],[BENEFICIO]]/T_CURSOS[[#This Row],[IMPORTE CLIENTE]]</f>
        <v>0.6</v>
      </c>
    </row>
    <row r="331" spans="1:18" x14ac:dyDescent="0.2">
      <c r="A331" s="2" t="s">
        <v>383</v>
      </c>
      <c r="B331" s="3" t="s">
        <v>33</v>
      </c>
      <c r="C331" s="3">
        <v>15</v>
      </c>
      <c r="D331" s="3" t="s">
        <v>51</v>
      </c>
      <c r="E331" s="4">
        <v>600</v>
      </c>
      <c r="F331" s="3" t="s">
        <v>27</v>
      </c>
      <c r="G331" s="4">
        <v>180</v>
      </c>
      <c r="H331" s="5">
        <v>43704</v>
      </c>
      <c r="I331" s="5" t="s">
        <v>57</v>
      </c>
      <c r="J331" s="3" t="s">
        <v>29</v>
      </c>
      <c r="K331" s="4">
        <v>60</v>
      </c>
      <c r="L331" s="3" t="s">
        <v>21</v>
      </c>
      <c r="M331" s="2" t="s">
        <v>45</v>
      </c>
      <c r="N331" s="2" t="s">
        <v>82</v>
      </c>
      <c r="O331" s="2" t="s">
        <v>21</v>
      </c>
      <c r="P331" s="6">
        <f>T_CURSOS[[#This Row],[IMPORTE PROFESOR]]+T_CURSOS[[#This Row],[IMPORTE COMERCIAL]]</f>
        <v>240</v>
      </c>
      <c r="Q331" s="6">
        <f>T_CURSOS[[#This Row],[IMPORTE CLIENTE]]-T_CURSOS[[#This Row],[GASTO]]</f>
        <v>360</v>
      </c>
      <c r="R331" s="7">
        <f>T_CURSOS[[#This Row],[BENEFICIO]]/T_CURSOS[[#This Row],[IMPORTE CLIENTE]]</f>
        <v>0.6</v>
      </c>
    </row>
    <row r="332" spans="1:18" x14ac:dyDescent="0.2">
      <c r="A332" s="2" t="s">
        <v>384</v>
      </c>
      <c r="B332" s="3" t="s">
        <v>25</v>
      </c>
      <c r="C332" s="3">
        <v>20</v>
      </c>
      <c r="D332" s="3" t="s">
        <v>17</v>
      </c>
      <c r="E332" s="4">
        <v>600</v>
      </c>
      <c r="F332" s="3" t="s">
        <v>35</v>
      </c>
      <c r="G332" s="4">
        <v>240</v>
      </c>
      <c r="H332" s="5">
        <v>43487</v>
      </c>
      <c r="I332" s="5" t="s">
        <v>57</v>
      </c>
      <c r="J332" s="3" t="s">
        <v>36</v>
      </c>
      <c r="K332" s="4">
        <v>48</v>
      </c>
      <c r="L332" s="3" t="s">
        <v>21</v>
      </c>
      <c r="M332" s="2" t="s">
        <v>22</v>
      </c>
      <c r="N332" s="2" t="s">
        <v>73</v>
      </c>
      <c r="O332" s="2" t="s">
        <v>21</v>
      </c>
      <c r="P332" s="6">
        <f>T_CURSOS[[#This Row],[IMPORTE PROFESOR]]+T_CURSOS[[#This Row],[IMPORTE COMERCIAL]]</f>
        <v>288</v>
      </c>
      <c r="Q332" s="6">
        <f>T_CURSOS[[#This Row],[IMPORTE CLIENTE]]-T_CURSOS[[#This Row],[GASTO]]</f>
        <v>312</v>
      </c>
      <c r="R332" s="7">
        <f>T_CURSOS[[#This Row],[BENEFICIO]]/T_CURSOS[[#This Row],[IMPORTE CLIENTE]]</f>
        <v>0.52</v>
      </c>
    </row>
    <row r="333" spans="1:18" x14ac:dyDescent="0.2">
      <c r="A333" s="2" t="s">
        <v>385</v>
      </c>
      <c r="B333" s="3" t="s">
        <v>25</v>
      </c>
      <c r="C333" s="3">
        <v>25</v>
      </c>
      <c r="D333" s="3" t="s">
        <v>26</v>
      </c>
      <c r="E333" s="4">
        <v>750</v>
      </c>
      <c r="F333" s="3" t="s">
        <v>39</v>
      </c>
      <c r="G333" s="4">
        <v>300</v>
      </c>
      <c r="H333" s="5">
        <v>43740</v>
      </c>
      <c r="I333" s="5" t="s">
        <v>57</v>
      </c>
      <c r="J333" s="3" t="s">
        <v>20</v>
      </c>
      <c r="K333" s="4">
        <v>60</v>
      </c>
      <c r="L333" s="3" t="s">
        <v>21</v>
      </c>
      <c r="M333" s="2" t="s">
        <v>30</v>
      </c>
      <c r="N333" s="2" t="s">
        <v>31</v>
      </c>
      <c r="O333" s="2" t="s">
        <v>41</v>
      </c>
      <c r="P333" s="6">
        <f>T_CURSOS[[#This Row],[IMPORTE PROFESOR]]+T_CURSOS[[#This Row],[IMPORTE COMERCIAL]]</f>
        <v>360</v>
      </c>
      <c r="Q333" s="6">
        <f>T_CURSOS[[#This Row],[IMPORTE CLIENTE]]-T_CURSOS[[#This Row],[GASTO]]</f>
        <v>390</v>
      </c>
      <c r="R333" s="7">
        <f>T_CURSOS[[#This Row],[BENEFICIO]]/T_CURSOS[[#This Row],[IMPORTE CLIENTE]]</f>
        <v>0.52</v>
      </c>
    </row>
    <row r="334" spans="1:18" x14ac:dyDescent="0.2">
      <c r="A334" s="2" t="s">
        <v>386</v>
      </c>
      <c r="B334" s="3" t="s">
        <v>25</v>
      </c>
      <c r="C334" s="3">
        <v>30</v>
      </c>
      <c r="D334" s="3" t="s">
        <v>34</v>
      </c>
      <c r="E334" s="4">
        <v>900</v>
      </c>
      <c r="F334" s="3" t="s">
        <v>44</v>
      </c>
      <c r="G334" s="4">
        <v>360</v>
      </c>
      <c r="H334" s="5">
        <v>43921</v>
      </c>
      <c r="I334" s="5" t="s">
        <v>57</v>
      </c>
      <c r="J334" s="3" t="s">
        <v>29</v>
      </c>
      <c r="K334" s="4">
        <v>72</v>
      </c>
      <c r="L334" s="3" t="s">
        <v>21</v>
      </c>
      <c r="M334" s="2" t="s">
        <v>22</v>
      </c>
      <c r="N334" s="2" t="s">
        <v>101</v>
      </c>
      <c r="O334" s="2" t="s">
        <v>21</v>
      </c>
      <c r="P334" s="6">
        <f>T_CURSOS[[#This Row],[IMPORTE PROFESOR]]+T_CURSOS[[#This Row],[IMPORTE COMERCIAL]]</f>
        <v>432</v>
      </c>
      <c r="Q334" s="6">
        <f>T_CURSOS[[#This Row],[IMPORTE CLIENTE]]-T_CURSOS[[#This Row],[GASTO]]</f>
        <v>468</v>
      </c>
      <c r="R334" s="7">
        <f>T_CURSOS[[#This Row],[BENEFICIO]]/T_CURSOS[[#This Row],[IMPORTE CLIENTE]]</f>
        <v>0.52</v>
      </c>
    </row>
    <row r="335" spans="1:18" x14ac:dyDescent="0.2">
      <c r="A335" s="2" t="s">
        <v>387</v>
      </c>
      <c r="B335" s="3" t="s">
        <v>16</v>
      </c>
      <c r="C335" s="3">
        <v>40</v>
      </c>
      <c r="D335" s="3" t="s">
        <v>38</v>
      </c>
      <c r="E335" s="4">
        <v>1000</v>
      </c>
      <c r="F335" s="3" t="s">
        <v>27</v>
      </c>
      <c r="G335" s="4">
        <v>480</v>
      </c>
      <c r="H335" s="5">
        <v>43579</v>
      </c>
      <c r="I335" s="5" t="s">
        <v>57</v>
      </c>
      <c r="J335" s="3" t="s">
        <v>36</v>
      </c>
      <c r="K335" s="4">
        <v>70</v>
      </c>
      <c r="L335" s="3" t="s">
        <v>21</v>
      </c>
      <c r="M335" s="2" t="s">
        <v>30</v>
      </c>
      <c r="N335" s="2" t="s">
        <v>31</v>
      </c>
      <c r="O335" s="2" t="s">
        <v>21</v>
      </c>
      <c r="P335" s="6">
        <f>T_CURSOS[[#This Row],[IMPORTE PROFESOR]]+T_CURSOS[[#This Row],[IMPORTE COMERCIAL]]</f>
        <v>550</v>
      </c>
      <c r="Q335" s="6">
        <f>T_CURSOS[[#This Row],[IMPORTE CLIENTE]]-T_CURSOS[[#This Row],[GASTO]]</f>
        <v>450</v>
      </c>
      <c r="R335" s="7">
        <f>T_CURSOS[[#This Row],[BENEFICIO]]/T_CURSOS[[#This Row],[IMPORTE CLIENTE]]</f>
        <v>0.45</v>
      </c>
    </row>
    <row r="336" spans="1:18" x14ac:dyDescent="0.2">
      <c r="A336" s="2" t="s">
        <v>388</v>
      </c>
      <c r="B336" s="3" t="s">
        <v>16</v>
      </c>
      <c r="C336" s="3">
        <v>35</v>
      </c>
      <c r="D336" s="3" t="s">
        <v>43</v>
      </c>
      <c r="E336" s="4">
        <v>875</v>
      </c>
      <c r="F336" s="3" t="s">
        <v>35</v>
      </c>
      <c r="G336" s="4">
        <v>420</v>
      </c>
      <c r="H336" s="5">
        <v>44404</v>
      </c>
      <c r="I336" s="5" t="s">
        <v>28</v>
      </c>
      <c r="J336" s="3" t="s">
        <v>40</v>
      </c>
      <c r="K336" s="4">
        <v>61.25</v>
      </c>
      <c r="L336" s="3" t="s">
        <v>21</v>
      </c>
      <c r="M336" s="2" t="s">
        <v>45</v>
      </c>
      <c r="N336" s="2" t="s">
        <v>82</v>
      </c>
      <c r="O336" s="2" t="s">
        <v>41</v>
      </c>
      <c r="P336" s="6">
        <f>T_CURSOS[[#This Row],[IMPORTE PROFESOR]]+T_CURSOS[[#This Row],[IMPORTE COMERCIAL]]</f>
        <v>481.25</v>
      </c>
      <c r="Q336" s="6">
        <f>T_CURSOS[[#This Row],[IMPORTE CLIENTE]]-T_CURSOS[[#This Row],[GASTO]]</f>
        <v>393.75</v>
      </c>
      <c r="R336" s="7">
        <f>T_CURSOS[[#This Row],[BENEFICIO]]/T_CURSOS[[#This Row],[IMPORTE CLIENTE]]</f>
        <v>0.45</v>
      </c>
    </row>
    <row r="337" spans="1:18" x14ac:dyDescent="0.2">
      <c r="A337" s="2" t="s">
        <v>389</v>
      </c>
      <c r="B337" s="3" t="s">
        <v>16</v>
      </c>
      <c r="C337" s="3">
        <v>12</v>
      </c>
      <c r="D337" s="3" t="s">
        <v>38</v>
      </c>
      <c r="E337" s="4">
        <v>300</v>
      </c>
      <c r="F337" s="3" t="s">
        <v>39</v>
      </c>
      <c r="G337" s="4">
        <v>144</v>
      </c>
      <c r="H337" s="5">
        <v>44297</v>
      </c>
      <c r="I337" s="5" t="s">
        <v>19</v>
      </c>
      <c r="J337" s="3" t="s">
        <v>20</v>
      </c>
      <c r="K337" s="4">
        <v>21</v>
      </c>
      <c r="L337" s="3" t="s">
        <v>41</v>
      </c>
      <c r="M337" s="2" t="s">
        <v>30</v>
      </c>
      <c r="N337" s="2" t="s">
        <v>31</v>
      </c>
      <c r="O337" s="2" t="s">
        <v>21</v>
      </c>
      <c r="P337" s="6">
        <f>T_CURSOS[[#This Row],[IMPORTE PROFESOR]]+T_CURSOS[[#This Row],[IMPORTE COMERCIAL]]</f>
        <v>165</v>
      </c>
      <c r="Q337" s="6">
        <f>T_CURSOS[[#This Row],[IMPORTE CLIENTE]]-T_CURSOS[[#This Row],[GASTO]]</f>
        <v>135</v>
      </c>
      <c r="R337" s="7">
        <f>T_CURSOS[[#This Row],[BENEFICIO]]/T_CURSOS[[#This Row],[IMPORTE CLIENTE]]</f>
        <v>0.45</v>
      </c>
    </row>
    <row r="338" spans="1:18" x14ac:dyDescent="0.2">
      <c r="A338" s="2" t="s">
        <v>390</v>
      </c>
      <c r="B338" s="3" t="s">
        <v>16</v>
      </c>
      <c r="C338" s="3">
        <v>15</v>
      </c>
      <c r="D338" s="3" t="s">
        <v>34</v>
      </c>
      <c r="E338" s="4">
        <v>375</v>
      </c>
      <c r="F338" s="3" t="s">
        <v>18</v>
      </c>
      <c r="G338" s="4">
        <v>180</v>
      </c>
      <c r="H338" s="5">
        <v>44176</v>
      </c>
      <c r="I338" s="5" t="s">
        <v>28</v>
      </c>
      <c r="J338" s="3" t="s">
        <v>29</v>
      </c>
      <c r="K338" s="4">
        <v>26.25</v>
      </c>
      <c r="L338" s="3" t="s">
        <v>41</v>
      </c>
      <c r="M338" s="2" t="s">
        <v>22</v>
      </c>
      <c r="N338" s="2" t="s">
        <v>101</v>
      </c>
      <c r="O338" s="2" t="s">
        <v>21</v>
      </c>
      <c r="P338" s="6">
        <f>T_CURSOS[[#This Row],[IMPORTE PROFESOR]]+T_CURSOS[[#This Row],[IMPORTE COMERCIAL]]</f>
        <v>206.25</v>
      </c>
      <c r="Q338" s="6">
        <f>T_CURSOS[[#This Row],[IMPORTE CLIENTE]]-T_CURSOS[[#This Row],[GASTO]]</f>
        <v>168.75</v>
      </c>
      <c r="R338" s="7">
        <f>T_CURSOS[[#This Row],[BENEFICIO]]/T_CURSOS[[#This Row],[IMPORTE CLIENTE]]</f>
        <v>0.45</v>
      </c>
    </row>
    <row r="339" spans="1:18" x14ac:dyDescent="0.2">
      <c r="A339" s="2" t="s">
        <v>391</v>
      </c>
      <c r="B339" s="3" t="s">
        <v>25</v>
      </c>
      <c r="C339" s="3">
        <v>25</v>
      </c>
      <c r="D339" s="3" t="s">
        <v>38</v>
      </c>
      <c r="E339" s="4">
        <v>750</v>
      </c>
      <c r="F339" s="3" t="s">
        <v>27</v>
      </c>
      <c r="G339" s="4">
        <v>300</v>
      </c>
      <c r="H339" s="5">
        <v>44036</v>
      </c>
      <c r="I339" s="5" t="s">
        <v>19</v>
      </c>
      <c r="J339" s="3" t="s">
        <v>36</v>
      </c>
      <c r="K339" s="4">
        <v>60</v>
      </c>
      <c r="L339" s="3" t="s">
        <v>41</v>
      </c>
      <c r="M339" s="2" t="s">
        <v>30</v>
      </c>
      <c r="N339" s="2" t="s">
        <v>31</v>
      </c>
      <c r="O339" s="2" t="s">
        <v>21</v>
      </c>
      <c r="P339" s="6">
        <f>T_CURSOS[[#This Row],[IMPORTE PROFESOR]]+T_CURSOS[[#This Row],[IMPORTE COMERCIAL]]</f>
        <v>360</v>
      </c>
      <c r="Q339" s="6">
        <f>T_CURSOS[[#This Row],[IMPORTE CLIENTE]]-T_CURSOS[[#This Row],[GASTO]]</f>
        <v>390</v>
      </c>
      <c r="R339" s="7">
        <f>T_CURSOS[[#This Row],[BENEFICIO]]/T_CURSOS[[#This Row],[IMPORTE CLIENTE]]</f>
        <v>0.52</v>
      </c>
    </row>
    <row r="340" spans="1:18" x14ac:dyDescent="0.2">
      <c r="A340" s="2" t="s">
        <v>392</v>
      </c>
      <c r="B340" s="3" t="s">
        <v>33</v>
      </c>
      <c r="C340" s="3">
        <v>15</v>
      </c>
      <c r="D340" s="3" t="s">
        <v>51</v>
      </c>
      <c r="E340" s="4">
        <v>600</v>
      </c>
      <c r="F340" s="3" t="s">
        <v>35</v>
      </c>
      <c r="G340" s="4">
        <v>180</v>
      </c>
      <c r="H340" s="5">
        <v>43657</v>
      </c>
      <c r="I340" s="5" t="s">
        <v>19</v>
      </c>
      <c r="J340" s="3" t="s">
        <v>40</v>
      </c>
      <c r="K340" s="4">
        <v>60</v>
      </c>
      <c r="L340" s="3" t="s">
        <v>41</v>
      </c>
      <c r="M340" s="2" t="s">
        <v>45</v>
      </c>
      <c r="N340" s="2" t="s">
        <v>82</v>
      </c>
      <c r="O340" s="2" t="s">
        <v>21</v>
      </c>
      <c r="P340" s="6">
        <f>T_CURSOS[[#This Row],[IMPORTE PROFESOR]]+T_CURSOS[[#This Row],[IMPORTE COMERCIAL]]</f>
        <v>240</v>
      </c>
      <c r="Q340" s="6">
        <f>T_CURSOS[[#This Row],[IMPORTE CLIENTE]]-T_CURSOS[[#This Row],[GASTO]]</f>
        <v>360</v>
      </c>
      <c r="R340" s="7">
        <f>T_CURSOS[[#This Row],[BENEFICIO]]/T_CURSOS[[#This Row],[IMPORTE CLIENTE]]</f>
        <v>0.6</v>
      </c>
    </row>
    <row r="341" spans="1:18" x14ac:dyDescent="0.2">
      <c r="A341" s="2" t="s">
        <v>393</v>
      </c>
      <c r="B341" s="3" t="s">
        <v>16</v>
      </c>
      <c r="C341" s="3">
        <v>20</v>
      </c>
      <c r="D341" s="3" t="s">
        <v>34</v>
      </c>
      <c r="E341" s="4">
        <v>500</v>
      </c>
      <c r="F341" s="3" t="s">
        <v>39</v>
      </c>
      <c r="G341" s="4">
        <v>240</v>
      </c>
      <c r="H341" s="5">
        <v>43969</v>
      </c>
      <c r="I341" s="5" t="s">
        <v>19</v>
      </c>
      <c r="J341" s="3" t="s">
        <v>29</v>
      </c>
      <c r="K341" s="4">
        <v>35</v>
      </c>
      <c r="L341" s="3" t="s">
        <v>41</v>
      </c>
      <c r="M341" s="2" t="s">
        <v>22</v>
      </c>
      <c r="N341" s="2" t="s">
        <v>101</v>
      </c>
      <c r="O341" s="2" t="s">
        <v>21</v>
      </c>
      <c r="P341" s="6">
        <f>T_CURSOS[[#This Row],[IMPORTE PROFESOR]]+T_CURSOS[[#This Row],[IMPORTE COMERCIAL]]</f>
        <v>275</v>
      </c>
      <c r="Q341" s="6">
        <f>T_CURSOS[[#This Row],[IMPORTE CLIENTE]]-T_CURSOS[[#This Row],[GASTO]]</f>
        <v>225</v>
      </c>
      <c r="R341" s="7">
        <f>T_CURSOS[[#This Row],[BENEFICIO]]/T_CURSOS[[#This Row],[IMPORTE CLIENTE]]</f>
        <v>0.45</v>
      </c>
    </row>
    <row r="342" spans="1:18" x14ac:dyDescent="0.2">
      <c r="A342" s="2" t="s">
        <v>394</v>
      </c>
      <c r="B342" s="3" t="s">
        <v>16</v>
      </c>
      <c r="C342" s="3">
        <v>20</v>
      </c>
      <c r="D342" s="3" t="s">
        <v>56</v>
      </c>
      <c r="E342" s="4">
        <v>500</v>
      </c>
      <c r="F342" s="3" t="s">
        <v>44</v>
      </c>
      <c r="G342" s="4">
        <v>240</v>
      </c>
      <c r="H342" s="5">
        <v>44472</v>
      </c>
      <c r="I342" s="5" t="s">
        <v>19</v>
      </c>
      <c r="J342" s="3" t="s">
        <v>36</v>
      </c>
      <c r="K342" s="4">
        <v>35</v>
      </c>
      <c r="L342" s="3" t="s">
        <v>21</v>
      </c>
      <c r="M342" s="2" t="s">
        <v>22</v>
      </c>
      <c r="N342" s="2" t="s">
        <v>101</v>
      </c>
      <c r="O342" s="2" t="s">
        <v>21</v>
      </c>
      <c r="P342" s="6">
        <f>T_CURSOS[[#This Row],[IMPORTE PROFESOR]]+T_CURSOS[[#This Row],[IMPORTE COMERCIAL]]</f>
        <v>275</v>
      </c>
      <c r="Q342" s="6">
        <f>T_CURSOS[[#This Row],[IMPORTE CLIENTE]]-T_CURSOS[[#This Row],[GASTO]]</f>
        <v>225</v>
      </c>
      <c r="R342" s="7">
        <f>T_CURSOS[[#This Row],[BENEFICIO]]/T_CURSOS[[#This Row],[IMPORTE CLIENTE]]</f>
        <v>0.45</v>
      </c>
    </row>
    <row r="343" spans="1:18" x14ac:dyDescent="0.2">
      <c r="A343" s="2" t="s">
        <v>395</v>
      </c>
      <c r="B343" s="3" t="s">
        <v>16</v>
      </c>
      <c r="C343" s="3">
        <v>30</v>
      </c>
      <c r="D343" s="3" t="s">
        <v>43</v>
      </c>
      <c r="E343" s="4">
        <v>750</v>
      </c>
      <c r="F343" s="3" t="s">
        <v>27</v>
      </c>
      <c r="G343" s="4">
        <v>360</v>
      </c>
      <c r="H343" s="5">
        <v>43698</v>
      </c>
      <c r="I343" s="5" t="s">
        <v>28</v>
      </c>
      <c r="J343" s="3" t="s">
        <v>40</v>
      </c>
      <c r="K343" s="4">
        <v>52.5</v>
      </c>
      <c r="L343" s="3" t="s">
        <v>21</v>
      </c>
      <c r="M343" s="2" t="s">
        <v>45</v>
      </c>
      <c r="N343" s="2" t="s">
        <v>82</v>
      </c>
      <c r="O343" s="2" t="s">
        <v>21</v>
      </c>
      <c r="P343" s="6">
        <f>T_CURSOS[[#This Row],[IMPORTE PROFESOR]]+T_CURSOS[[#This Row],[IMPORTE COMERCIAL]]</f>
        <v>412.5</v>
      </c>
      <c r="Q343" s="6">
        <f>T_CURSOS[[#This Row],[IMPORTE CLIENTE]]-T_CURSOS[[#This Row],[GASTO]]</f>
        <v>337.5</v>
      </c>
      <c r="R343" s="7">
        <f>T_CURSOS[[#This Row],[BENEFICIO]]/T_CURSOS[[#This Row],[IMPORTE CLIENTE]]</f>
        <v>0.45</v>
      </c>
    </row>
    <row r="344" spans="1:18" x14ac:dyDescent="0.2">
      <c r="A344" s="2" t="s">
        <v>396</v>
      </c>
      <c r="B344" s="3" t="s">
        <v>25</v>
      </c>
      <c r="C344" s="3">
        <v>35</v>
      </c>
      <c r="D344" s="3" t="s">
        <v>51</v>
      </c>
      <c r="E344" s="4">
        <v>1050</v>
      </c>
      <c r="F344" s="3" t="s">
        <v>35</v>
      </c>
      <c r="G344" s="4">
        <v>420</v>
      </c>
      <c r="H344" s="5">
        <v>43914</v>
      </c>
      <c r="I344" s="5" t="s">
        <v>28</v>
      </c>
      <c r="J344" s="3" t="s">
        <v>20</v>
      </c>
      <c r="K344" s="4">
        <v>84</v>
      </c>
      <c r="L344" s="3" t="s">
        <v>21</v>
      </c>
      <c r="M344" s="2" t="s">
        <v>45</v>
      </c>
      <c r="N344" s="2" t="s">
        <v>82</v>
      </c>
      <c r="O344" s="2" t="s">
        <v>21</v>
      </c>
      <c r="P344" s="6">
        <f>T_CURSOS[[#This Row],[IMPORTE PROFESOR]]+T_CURSOS[[#This Row],[IMPORTE COMERCIAL]]</f>
        <v>504</v>
      </c>
      <c r="Q344" s="6">
        <f>T_CURSOS[[#This Row],[IMPORTE CLIENTE]]-T_CURSOS[[#This Row],[GASTO]]</f>
        <v>546</v>
      </c>
      <c r="R344" s="7">
        <f>T_CURSOS[[#This Row],[BENEFICIO]]/T_CURSOS[[#This Row],[IMPORTE CLIENTE]]</f>
        <v>0.52</v>
      </c>
    </row>
    <row r="345" spans="1:18" x14ac:dyDescent="0.2">
      <c r="A345" s="2" t="s">
        <v>397</v>
      </c>
      <c r="B345" s="3" t="s">
        <v>25</v>
      </c>
      <c r="C345" s="3">
        <v>40</v>
      </c>
      <c r="D345" s="3" t="s">
        <v>17</v>
      </c>
      <c r="E345" s="4">
        <v>1200</v>
      </c>
      <c r="F345" s="3" t="s">
        <v>39</v>
      </c>
      <c r="G345" s="4">
        <v>480</v>
      </c>
      <c r="H345" s="5">
        <v>43955</v>
      </c>
      <c r="I345" s="5" t="s">
        <v>28</v>
      </c>
      <c r="J345" s="3" t="s">
        <v>29</v>
      </c>
      <c r="K345" s="4">
        <v>96</v>
      </c>
      <c r="L345" s="3" t="s">
        <v>21</v>
      </c>
      <c r="M345" s="2" t="s">
        <v>22</v>
      </c>
      <c r="N345" s="2" t="s">
        <v>73</v>
      </c>
      <c r="O345" s="2" t="s">
        <v>21</v>
      </c>
      <c r="P345" s="6">
        <f>T_CURSOS[[#This Row],[IMPORTE PROFESOR]]+T_CURSOS[[#This Row],[IMPORTE COMERCIAL]]</f>
        <v>576</v>
      </c>
      <c r="Q345" s="6">
        <f>T_CURSOS[[#This Row],[IMPORTE CLIENTE]]-T_CURSOS[[#This Row],[GASTO]]</f>
        <v>624</v>
      </c>
      <c r="R345" s="7">
        <f>T_CURSOS[[#This Row],[BENEFICIO]]/T_CURSOS[[#This Row],[IMPORTE CLIENTE]]</f>
        <v>0.52</v>
      </c>
    </row>
    <row r="346" spans="1:18" x14ac:dyDescent="0.2">
      <c r="A346" s="2" t="s">
        <v>398</v>
      </c>
      <c r="B346" s="3" t="s">
        <v>25</v>
      </c>
      <c r="C346" s="3">
        <v>40</v>
      </c>
      <c r="D346" s="3" t="s">
        <v>26</v>
      </c>
      <c r="E346" s="4">
        <v>1200</v>
      </c>
      <c r="F346" s="3" t="s">
        <v>44</v>
      </c>
      <c r="G346" s="4">
        <v>480</v>
      </c>
      <c r="H346" s="5">
        <v>43862</v>
      </c>
      <c r="I346" s="5" t="s">
        <v>28</v>
      </c>
      <c r="J346" s="3" t="s">
        <v>36</v>
      </c>
      <c r="K346" s="4">
        <v>96</v>
      </c>
      <c r="L346" s="3" t="s">
        <v>41</v>
      </c>
      <c r="M346" s="2" t="s">
        <v>30</v>
      </c>
      <c r="N346" s="2" t="s">
        <v>31</v>
      </c>
      <c r="O346" s="2" t="s">
        <v>21</v>
      </c>
      <c r="P346" s="6">
        <f>T_CURSOS[[#This Row],[IMPORTE PROFESOR]]+T_CURSOS[[#This Row],[IMPORTE COMERCIAL]]</f>
        <v>576</v>
      </c>
      <c r="Q346" s="6">
        <f>T_CURSOS[[#This Row],[IMPORTE CLIENTE]]-T_CURSOS[[#This Row],[GASTO]]</f>
        <v>624</v>
      </c>
      <c r="R346" s="7">
        <f>T_CURSOS[[#This Row],[BENEFICIO]]/T_CURSOS[[#This Row],[IMPORTE CLIENTE]]</f>
        <v>0.52</v>
      </c>
    </row>
    <row r="347" spans="1:18" x14ac:dyDescent="0.2">
      <c r="A347" s="2" t="s">
        <v>399</v>
      </c>
      <c r="B347" s="3" t="s">
        <v>53</v>
      </c>
      <c r="C347" s="3">
        <v>35</v>
      </c>
      <c r="D347" s="3" t="s">
        <v>34</v>
      </c>
      <c r="E347" s="4">
        <v>875</v>
      </c>
      <c r="F347" s="3" t="s">
        <v>27</v>
      </c>
      <c r="G347" s="4">
        <v>420</v>
      </c>
      <c r="H347" s="5">
        <v>43749</v>
      </c>
      <c r="I347" s="5" t="s">
        <v>57</v>
      </c>
      <c r="J347" s="3" t="s">
        <v>20</v>
      </c>
      <c r="K347" s="4">
        <v>43.75</v>
      </c>
      <c r="L347" s="3" t="s">
        <v>41</v>
      </c>
      <c r="M347" s="2" t="s">
        <v>22</v>
      </c>
      <c r="N347" s="2" t="s">
        <v>73</v>
      </c>
      <c r="O347" s="2" t="s">
        <v>21</v>
      </c>
      <c r="P347" s="6">
        <f>T_CURSOS[[#This Row],[IMPORTE PROFESOR]]+T_CURSOS[[#This Row],[IMPORTE COMERCIAL]]</f>
        <v>463.75</v>
      </c>
      <c r="Q347" s="6">
        <f>T_CURSOS[[#This Row],[IMPORTE CLIENTE]]-T_CURSOS[[#This Row],[GASTO]]</f>
        <v>411.25</v>
      </c>
      <c r="R347" s="7">
        <f>T_CURSOS[[#This Row],[BENEFICIO]]/T_CURSOS[[#This Row],[IMPORTE CLIENTE]]</f>
        <v>0.47</v>
      </c>
    </row>
    <row r="348" spans="1:18" x14ac:dyDescent="0.2">
      <c r="A348" s="2" t="s">
        <v>400</v>
      </c>
      <c r="B348" s="3" t="s">
        <v>55</v>
      </c>
      <c r="C348" s="3">
        <v>45</v>
      </c>
      <c r="D348" s="3" t="s">
        <v>38</v>
      </c>
      <c r="E348" s="4">
        <v>1125</v>
      </c>
      <c r="F348" s="3" t="s">
        <v>35</v>
      </c>
      <c r="G348" s="4">
        <v>540</v>
      </c>
      <c r="H348" s="5">
        <v>44540</v>
      </c>
      <c r="I348" s="5" t="s">
        <v>57</v>
      </c>
      <c r="J348" s="3" t="s">
        <v>29</v>
      </c>
      <c r="K348" s="4">
        <v>56.25</v>
      </c>
      <c r="L348" s="3" t="s">
        <v>41</v>
      </c>
      <c r="M348" s="2" t="s">
        <v>30</v>
      </c>
      <c r="N348" s="2" t="s">
        <v>31</v>
      </c>
      <c r="O348" s="2" t="s">
        <v>21</v>
      </c>
      <c r="P348" s="6">
        <f>T_CURSOS[[#This Row],[IMPORTE PROFESOR]]+T_CURSOS[[#This Row],[IMPORTE COMERCIAL]]</f>
        <v>596.25</v>
      </c>
      <c r="Q348" s="6">
        <f>T_CURSOS[[#This Row],[IMPORTE CLIENTE]]-T_CURSOS[[#This Row],[GASTO]]</f>
        <v>528.75</v>
      </c>
      <c r="R348" s="7">
        <f>T_CURSOS[[#This Row],[BENEFICIO]]/T_CURSOS[[#This Row],[IMPORTE CLIENTE]]</f>
        <v>0.47</v>
      </c>
    </row>
    <row r="349" spans="1:18" x14ac:dyDescent="0.2">
      <c r="A349" s="2" t="s">
        <v>401</v>
      </c>
      <c r="B349" s="3" t="s">
        <v>55</v>
      </c>
      <c r="C349" s="3">
        <v>25</v>
      </c>
      <c r="D349" s="3" t="s">
        <v>43</v>
      </c>
      <c r="E349" s="4">
        <v>625</v>
      </c>
      <c r="F349" s="3" t="s">
        <v>39</v>
      </c>
      <c r="G349" s="4">
        <v>300</v>
      </c>
      <c r="H349" s="5">
        <v>44383</v>
      </c>
      <c r="I349" s="5" t="s">
        <v>57</v>
      </c>
      <c r="J349" s="3" t="s">
        <v>36</v>
      </c>
      <c r="K349" s="4">
        <v>31.25</v>
      </c>
      <c r="L349" s="3" t="s">
        <v>41</v>
      </c>
      <c r="M349" s="2" t="s">
        <v>45</v>
      </c>
      <c r="N349" s="2" t="s">
        <v>82</v>
      </c>
      <c r="O349" s="2" t="s">
        <v>21</v>
      </c>
      <c r="P349" s="6">
        <f>T_CURSOS[[#This Row],[IMPORTE PROFESOR]]+T_CURSOS[[#This Row],[IMPORTE COMERCIAL]]</f>
        <v>331.25</v>
      </c>
      <c r="Q349" s="6">
        <f>T_CURSOS[[#This Row],[IMPORTE CLIENTE]]-T_CURSOS[[#This Row],[GASTO]]</f>
        <v>293.75</v>
      </c>
      <c r="R349" s="7">
        <f>T_CURSOS[[#This Row],[BENEFICIO]]/T_CURSOS[[#This Row],[IMPORTE CLIENTE]]</f>
        <v>0.47</v>
      </c>
    </row>
    <row r="350" spans="1:18" x14ac:dyDescent="0.2">
      <c r="A350" s="2" t="s">
        <v>402</v>
      </c>
      <c r="B350" s="3" t="s">
        <v>55</v>
      </c>
      <c r="C350" s="3">
        <v>20</v>
      </c>
      <c r="D350" s="3" t="s">
        <v>38</v>
      </c>
      <c r="E350" s="4">
        <v>500</v>
      </c>
      <c r="F350" s="3" t="s">
        <v>18</v>
      </c>
      <c r="G350" s="4">
        <v>240</v>
      </c>
      <c r="H350" s="5">
        <v>44088</v>
      </c>
      <c r="I350" s="5" t="s">
        <v>28</v>
      </c>
      <c r="J350" s="3" t="s">
        <v>40</v>
      </c>
      <c r="K350" s="4">
        <v>25</v>
      </c>
      <c r="L350" s="3" t="s">
        <v>41</v>
      </c>
      <c r="M350" s="2" t="s">
        <v>30</v>
      </c>
      <c r="N350" s="2" t="s">
        <v>31</v>
      </c>
      <c r="O350" s="2" t="s">
        <v>21</v>
      </c>
      <c r="P350" s="6">
        <f>T_CURSOS[[#This Row],[IMPORTE PROFESOR]]+T_CURSOS[[#This Row],[IMPORTE COMERCIAL]]</f>
        <v>265</v>
      </c>
      <c r="Q350" s="6">
        <f>T_CURSOS[[#This Row],[IMPORTE CLIENTE]]-T_CURSOS[[#This Row],[GASTO]]</f>
        <v>235</v>
      </c>
      <c r="R350" s="7">
        <f>T_CURSOS[[#This Row],[BENEFICIO]]/T_CURSOS[[#This Row],[IMPORTE CLIENTE]]</f>
        <v>0.47</v>
      </c>
    </row>
    <row r="351" spans="1:18" x14ac:dyDescent="0.2">
      <c r="A351" s="2" t="s">
        <v>403</v>
      </c>
      <c r="B351" s="3" t="s">
        <v>53</v>
      </c>
      <c r="C351" s="3">
        <v>10</v>
      </c>
      <c r="D351" s="3" t="s">
        <v>34</v>
      </c>
      <c r="E351" s="4">
        <v>250</v>
      </c>
      <c r="F351" s="3" t="s">
        <v>27</v>
      </c>
      <c r="G351" s="4">
        <v>120</v>
      </c>
      <c r="H351" s="5">
        <v>43571</v>
      </c>
      <c r="I351" s="5" t="s">
        <v>28</v>
      </c>
      <c r="J351" s="3" t="s">
        <v>29</v>
      </c>
      <c r="K351" s="4">
        <v>12.5</v>
      </c>
      <c r="L351" s="3" t="s">
        <v>21</v>
      </c>
      <c r="M351" s="2" t="s">
        <v>22</v>
      </c>
      <c r="N351" s="2" t="s">
        <v>73</v>
      </c>
      <c r="O351" s="2" t="s">
        <v>21</v>
      </c>
      <c r="P351" s="6">
        <f>T_CURSOS[[#This Row],[IMPORTE PROFESOR]]+T_CURSOS[[#This Row],[IMPORTE COMERCIAL]]</f>
        <v>132.5</v>
      </c>
      <c r="Q351" s="6">
        <f>T_CURSOS[[#This Row],[IMPORTE CLIENTE]]-T_CURSOS[[#This Row],[GASTO]]</f>
        <v>117.5</v>
      </c>
      <c r="R351" s="7">
        <f>T_CURSOS[[#This Row],[BENEFICIO]]/T_CURSOS[[#This Row],[IMPORTE CLIENTE]]</f>
        <v>0.47</v>
      </c>
    </row>
    <row r="352" spans="1:18" x14ac:dyDescent="0.2">
      <c r="A352" s="2" t="s">
        <v>404</v>
      </c>
      <c r="B352" s="3" t="s">
        <v>63</v>
      </c>
      <c r="C352" s="3">
        <v>12</v>
      </c>
      <c r="D352" s="3" t="s">
        <v>38</v>
      </c>
      <c r="E352" s="4">
        <v>900</v>
      </c>
      <c r="F352" s="3" t="s">
        <v>39</v>
      </c>
      <c r="G352" s="4">
        <v>144</v>
      </c>
      <c r="H352" s="5">
        <v>44212</v>
      </c>
      <c r="I352" s="5" t="s">
        <v>28</v>
      </c>
      <c r="J352" s="3" t="s">
        <v>36</v>
      </c>
      <c r="K352" s="4">
        <v>135</v>
      </c>
      <c r="L352" s="3" t="s">
        <v>41</v>
      </c>
      <c r="M352" s="2" t="s">
        <v>30</v>
      </c>
      <c r="N352" s="2" t="s">
        <v>31</v>
      </c>
      <c r="O352" s="2" t="s">
        <v>21</v>
      </c>
      <c r="P352" s="6">
        <f>T_CURSOS[[#This Row],[IMPORTE PROFESOR]]+T_CURSOS[[#This Row],[IMPORTE COMERCIAL]]</f>
        <v>279</v>
      </c>
      <c r="Q352" s="6">
        <f>T_CURSOS[[#This Row],[IMPORTE CLIENTE]]-T_CURSOS[[#This Row],[GASTO]]</f>
        <v>621</v>
      </c>
      <c r="R352" s="7">
        <f>T_CURSOS[[#This Row],[BENEFICIO]]/T_CURSOS[[#This Row],[IMPORTE CLIENTE]]</f>
        <v>0.69</v>
      </c>
    </row>
    <row r="353" spans="1:18" x14ac:dyDescent="0.2">
      <c r="A353" s="2" t="s">
        <v>405</v>
      </c>
      <c r="B353" s="3" t="s">
        <v>65</v>
      </c>
      <c r="C353" s="3">
        <v>15</v>
      </c>
      <c r="D353" s="3" t="s">
        <v>51</v>
      </c>
      <c r="E353" s="4">
        <v>900</v>
      </c>
      <c r="F353" s="3" t="s">
        <v>18</v>
      </c>
      <c r="G353" s="4">
        <v>180</v>
      </c>
      <c r="H353" s="5">
        <v>43587</v>
      </c>
      <c r="I353" s="5" t="s">
        <v>28</v>
      </c>
      <c r="J353" s="3" t="s">
        <v>40</v>
      </c>
      <c r="K353" s="4">
        <v>108</v>
      </c>
      <c r="L353" s="3" t="s">
        <v>21</v>
      </c>
      <c r="M353" s="2" t="s">
        <v>45</v>
      </c>
      <c r="N353" s="2" t="s">
        <v>82</v>
      </c>
      <c r="O353" s="2" t="s">
        <v>21</v>
      </c>
      <c r="P353" s="6">
        <f>T_CURSOS[[#This Row],[IMPORTE PROFESOR]]+T_CURSOS[[#This Row],[IMPORTE COMERCIAL]]</f>
        <v>288</v>
      </c>
      <c r="Q353" s="6">
        <f>T_CURSOS[[#This Row],[IMPORTE CLIENTE]]-T_CURSOS[[#This Row],[GASTO]]</f>
        <v>612</v>
      </c>
      <c r="R353" s="7">
        <f>T_CURSOS[[#This Row],[BENEFICIO]]/T_CURSOS[[#This Row],[IMPORTE CLIENTE]]</f>
        <v>0.68</v>
      </c>
    </row>
    <row r="354" spans="1:18" x14ac:dyDescent="0.2">
      <c r="A354" s="2" t="s">
        <v>406</v>
      </c>
      <c r="B354" s="3" t="s">
        <v>65</v>
      </c>
      <c r="C354" s="3">
        <v>20</v>
      </c>
      <c r="D354" s="3" t="s">
        <v>34</v>
      </c>
      <c r="E354" s="4">
        <v>1200</v>
      </c>
      <c r="F354" s="3" t="s">
        <v>27</v>
      </c>
      <c r="G354" s="4">
        <v>240</v>
      </c>
      <c r="H354" s="5">
        <v>43753</v>
      </c>
      <c r="I354" s="5" t="s">
        <v>57</v>
      </c>
      <c r="J354" s="3" t="s">
        <v>20</v>
      </c>
      <c r="K354" s="4">
        <v>144</v>
      </c>
      <c r="L354" s="3" t="s">
        <v>21</v>
      </c>
      <c r="M354" s="2" t="s">
        <v>22</v>
      </c>
      <c r="N354" s="2" t="s">
        <v>73</v>
      </c>
      <c r="O354" s="2" t="s">
        <v>41</v>
      </c>
      <c r="P354" s="6">
        <f>T_CURSOS[[#This Row],[IMPORTE PROFESOR]]+T_CURSOS[[#This Row],[IMPORTE COMERCIAL]]</f>
        <v>384</v>
      </c>
      <c r="Q354" s="6">
        <f>T_CURSOS[[#This Row],[IMPORTE CLIENTE]]-T_CURSOS[[#This Row],[GASTO]]</f>
        <v>816</v>
      </c>
      <c r="R354" s="7">
        <f>T_CURSOS[[#This Row],[BENEFICIO]]/T_CURSOS[[#This Row],[IMPORTE CLIENTE]]</f>
        <v>0.68</v>
      </c>
    </row>
    <row r="355" spans="1:18" x14ac:dyDescent="0.2">
      <c r="A355" s="2" t="s">
        <v>407</v>
      </c>
      <c r="B355" s="3" t="s">
        <v>65</v>
      </c>
      <c r="C355" s="3">
        <v>25</v>
      </c>
      <c r="D355" s="3" t="s">
        <v>56</v>
      </c>
      <c r="E355" s="4">
        <v>1500</v>
      </c>
      <c r="F355" s="3" t="s">
        <v>35</v>
      </c>
      <c r="G355" s="4">
        <v>300</v>
      </c>
      <c r="H355" s="5">
        <v>43631</v>
      </c>
      <c r="I355" s="5" t="s">
        <v>57</v>
      </c>
      <c r="J355" s="3" t="s">
        <v>29</v>
      </c>
      <c r="K355" s="4">
        <v>180</v>
      </c>
      <c r="L355" s="3" t="s">
        <v>21</v>
      </c>
      <c r="M355" s="2" t="s">
        <v>22</v>
      </c>
      <c r="N355" s="2" t="s">
        <v>73</v>
      </c>
      <c r="O355" s="2" t="s">
        <v>21</v>
      </c>
      <c r="P355" s="6">
        <f>T_CURSOS[[#This Row],[IMPORTE PROFESOR]]+T_CURSOS[[#This Row],[IMPORTE COMERCIAL]]</f>
        <v>480</v>
      </c>
      <c r="Q355" s="6">
        <f>T_CURSOS[[#This Row],[IMPORTE CLIENTE]]-T_CURSOS[[#This Row],[GASTO]]</f>
        <v>1020</v>
      </c>
      <c r="R355" s="7">
        <f>T_CURSOS[[#This Row],[BENEFICIO]]/T_CURSOS[[#This Row],[IMPORTE CLIENTE]]</f>
        <v>0.68</v>
      </c>
    </row>
    <row r="356" spans="1:18" x14ac:dyDescent="0.2">
      <c r="A356" s="2" t="s">
        <v>408</v>
      </c>
      <c r="B356" s="3" t="s">
        <v>33</v>
      </c>
      <c r="C356" s="3">
        <v>30</v>
      </c>
      <c r="D356" s="3" t="s">
        <v>43</v>
      </c>
      <c r="E356" s="4">
        <v>1200</v>
      </c>
      <c r="F356" s="3" t="s">
        <v>39</v>
      </c>
      <c r="G356" s="4">
        <v>360</v>
      </c>
      <c r="H356" s="5">
        <v>43578</v>
      </c>
      <c r="I356" s="5" t="s">
        <v>57</v>
      </c>
      <c r="J356" s="3" t="s">
        <v>36</v>
      </c>
      <c r="K356" s="4">
        <v>120</v>
      </c>
      <c r="L356" s="3" t="s">
        <v>21</v>
      </c>
      <c r="M356" s="2" t="s">
        <v>45</v>
      </c>
      <c r="N356" s="2" t="s">
        <v>82</v>
      </c>
      <c r="O356" s="2" t="s">
        <v>21</v>
      </c>
      <c r="P356" s="6">
        <f>T_CURSOS[[#This Row],[IMPORTE PROFESOR]]+T_CURSOS[[#This Row],[IMPORTE COMERCIAL]]</f>
        <v>480</v>
      </c>
      <c r="Q356" s="6">
        <f>T_CURSOS[[#This Row],[IMPORTE CLIENTE]]-T_CURSOS[[#This Row],[GASTO]]</f>
        <v>720</v>
      </c>
      <c r="R356" s="7">
        <f>T_CURSOS[[#This Row],[BENEFICIO]]/T_CURSOS[[#This Row],[IMPORTE CLIENTE]]</f>
        <v>0.6</v>
      </c>
    </row>
    <row r="357" spans="1:18" x14ac:dyDescent="0.2">
      <c r="A357" s="2" t="s">
        <v>409</v>
      </c>
      <c r="B357" s="3" t="s">
        <v>33</v>
      </c>
      <c r="C357" s="3">
        <v>40</v>
      </c>
      <c r="D357" s="3" t="s">
        <v>51</v>
      </c>
      <c r="E357" s="4">
        <v>1600</v>
      </c>
      <c r="F357" s="3" t="s">
        <v>44</v>
      </c>
      <c r="G357" s="4">
        <v>480</v>
      </c>
      <c r="H357" s="5">
        <v>43621</v>
      </c>
      <c r="I357" s="5" t="s">
        <v>57</v>
      </c>
      <c r="J357" s="3" t="s">
        <v>20</v>
      </c>
      <c r="K357" s="4">
        <v>160</v>
      </c>
      <c r="L357" s="3" t="s">
        <v>21</v>
      </c>
      <c r="M357" s="2" t="s">
        <v>45</v>
      </c>
      <c r="N357" s="2" t="s">
        <v>82</v>
      </c>
      <c r="O357" s="2" t="s">
        <v>41</v>
      </c>
      <c r="P357" s="6">
        <f>T_CURSOS[[#This Row],[IMPORTE PROFESOR]]+T_CURSOS[[#This Row],[IMPORTE COMERCIAL]]</f>
        <v>640</v>
      </c>
      <c r="Q357" s="6">
        <f>T_CURSOS[[#This Row],[IMPORTE CLIENTE]]-T_CURSOS[[#This Row],[GASTO]]</f>
        <v>960</v>
      </c>
      <c r="R357" s="7">
        <f>T_CURSOS[[#This Row],[BENEFICIO]]/T_CURSOS[[#This Row],[IMPORTE CLIENTE]]</f>
        <v>0.6</v>
      </c>
    </row>
    <row r="358" spans="1:18" x14ac:dyDescent="0.2">
      <c r="A358" s="2" t="s">
        <v>410</v>
      </c>
      <c r="B358" s="3" t="s">
        <v>33</v>
      </c>
      <c r="C358" s="3">
        <v>35</v>
      </c>
      <c r="D358" s="3" t="s">
        <v>61</v>
      </c>
      <c r="E358" s="4">
        <v>1400</v>
      </c>
      <c r="F358" s="3" t="s">
        <v>27</v>
      </c>
      <c r="G358" s="4">
        <v>420</v>
      </c>
      <c r="H358" s="5">
        <v>43810</v>
      </c>
      <c r="I358" s="5" t="s">
        <v>57</v>
      </c>
      <c r="J358" s="3" t="s">
        <v>29</v>
      </c>
      <c r="K358" s="4">
        <v>140</v>
      </c>
      <c r="L358" s="3" t="s">
        <v>21</v>
      </c>
      <c r="M358" s="2" t="s">
        <v>22</v>
      </c>
      <c r="N358" s="2" t="s">
        <v>73</v>
      </c>
      <c r="O358" s="2" t="s">
        <v>21</v>
      </c>
      <c r="P358" s="6">
        <f>T_CURSOS[[#This Row],[IMPORTE PROFESOR]]+T_CURSOS[[#This Row],[IMPORTE COMERCIAL]]</f>
        <v>560</v>
      </c>
      <c r="Q358" s="6">
        <f>T_CURSOS[[#This Row],[IMPORTE CLIENTE]]-T_CURSOS[[#This Row],[GASTO]]</f>
        <v>840</v>
      </c>
      <c r="R358" s="7">
        <f>T_CURSOS[[#This Row],[BENEFICIO]]/T_CURSOS[[#This Row],[IMPORTE CLIENTE]]</f>
        <v>0.6</v>
      </c>
    </row>
    <row r="359" spans="1:18" x14ac:dyDescent="0.2">
      <c r="A359" s="2" t="s">
        <v>411</v>
      </c>
      <c r="B359" s="3" t="s">
        <v>33</v>
      </c>
      <c r="C359" s="3">
        <v>45</v>
      </c>
      <c r="D359" s="3" t="s">
        <v>38</v>
      </c>
      <c r="E359" s="4">
        <v>1800</v>
      </c>
      <c r="F359" s="3" t="s">
        <v>35</v>
      </c>
      <c r="G359" s="4">
        <v>540</v>
      </c>
      <c r="H359" s="5">
        <v>43600</v>
      </c>
      <c r="I359" s="5" t="s">
        <v>28</v>
      </c>
      <c r="J359" s="3" t="s">
        <v>36</v>
      </c>
      <c r="K359" s="4">
        <v>180</v>
      </c>
      <c r="L359" s="3" t="s">
        <v>21</v>
      </c>
      <c r="M359" s="2" t="s">
        <v>30</v>
      </c>
      <c r="N359" s="2" t="s">
        <v>104</v>
      </c>
      <c r="O359" s="2" t="s">
        <v>21</v>
      </c>
      <c r="P359" s="6">
        <f>T_CURSOS[[#This Row],[IMPORTE PROFESOR]]+T_CURSOS[[#This Row],[IMPORTE COMERCIAL]]</f>
        <v>720</v>
      </c>
      <c r="Q359" s="6">
        <f>T_CURSOS[[#This Row],[IMPORTE CLIENTE]]-T_CURSOS[[#This Row],[GASTO]]</f>
        <v>1080</v>
      </c>
      <c r="R359" s="7">
        <f>T_CURSOS[[#This Row],[BENEFICIO]]/T_CURSOS[[#This Row],[IMPORTE CLIENTE]]</f>
        <v>0.6</v>
      </c>
    </row>
    <row r="360" spans="1:18" x14ac:dyDescent="0.2">
      <c r="A360" s="2" t="s">
        <v>412</v>
      </c>
      <c r="B360" s="3" t="s">
        <v>25</v>
      </c>
      <c r="C360" s="3">
        <v>18</v>
      </c>
      <c r="D360" s="3" t="s">
        <v>43</v>
      </c>
      <c r="E360" s="4">
        <v>540</v>
      </c>
      <c r="F360" s="3" t="s">
        <v>39</v>
      </c>
      <c r="G360" s="4">
        <v>216</v>
      </c>
      <c r="H360" s="5">
        <v>43713</v>
      </c>
      <c r="I360" s="5" t="s">
        <v>57</v>
      </c>
      <c r="J360" s="3" t="s">
        <v>40</v>
      </c>
      <c r="K360" s="4">
        <v>43.2</v>
      </c>
      <c r="L360" s="3" t="s">
        <v>21</v>
      </c>
      <c r="M360" s="2" t="s">
        <v>45</v>
      </c>
      <c r="N360" s="2" t="s">
        <v>82</v>
      </c>
      <c r="O360" s="2" t="s">
        <v>41</v>
      </c>
      <c r="P360" s="6">
        <f>T_CURSOS[[#This Row],[IMPORTE PROFESOR]]+T_CURSOS[[#This Row],[IMPORTE COMERCIAL]]</f>
        <v>259.2</v>
      </c>
      <c r="Q360" s="6">
        <f>T_CURSOS[[#This Row],[IMPORTE CLIENTE]]-T_CURSOS[[#This Row],[GASTO]]</f>
        <v>280.8</v>
      </c>
      <c r="R360" s="7">
        <f>T_CURSOS[[#This Row],[BENEFICIO]]/T_CURSOS[[#This Row],[IMPORTE CLIENTE]]</f>
        <v>0.52</v>
      </c>
    </row>
    <row r="361" spans="1:18" x14ac:dyDescent="0.2">
      <c r="A361" s="2" t="s">
        <v>413</v>
      </c>
      <c r="B361" s="3" t="s">
        <v>25</v>
      </c>
      <c r="C361" s="3">
        <v>10</v>
      </c>
      <c r="D361" s="3" t="s">
        <v>51</v>
      </c>
      <c r="E361" s="4">
        <v>300</v>
      </c>
      <c r="F361" s="3" t="s">
        <v>44</v>
      </c>
      <c r="G361" s="4">
        <v>120</v>
      </c>
      <c r="H361" s="5">
        <v>43985</v>
      </c>
      <c r="I361" s="5" t="s">
        <v>57</v>
      </c>
      <c r="J361" s="3" t="s">
        <v>20</v>
      </c>
      <c r="K361" s="4">
        <v>24</v>
      </c>
      <c r="L361" s="3" t="s">
        <v>21</v>
      </c>
      <c r="M361" s="2" t="s">
        <v>45</v>
      </c>
      <c r="N361" s="2" t="s">
        <v>82</v>
      </c>
      <c r="O361" s="2" t="s">
        <v>41</v>
      </c>
      <c r="P361" s="6">
        <f>T_CURSOS[[#This Row],[IMPORTE PROFESOR]]+T_CURSOS[[#This Row],[IMPORTE COMERCIAL]]</f>
        <v>144</v>
      </c>
      <c r="Q361" s="6">
        <f>T_CURSOS[[#This Row],[IMPORTE CLIENTE]]-T_CURSOS[[#This Row],[GASTO]]</f>
        <v>156</v>
      </c>
      <c r="R361" s="7">
        <f>T_CURSOS[[#This Row],[BENEFICIO]]/T_CURSOS[[#This Row],[IMPORTE CLIENTE]]</f>
        <v>0.52</v>
      </c>
    </row>
    <row r="362" spans="1:18" x14ac:dyDescent="0.2">
      <c r="A362" s="2" t="s">
        <v>414</v>
      </c>
      <c r="B362" s="3" t="s">
        <v>25</v>
      </c>
      <c r="C362" s="3">
        <v>45</v>
      </c>
      <c r="D362" s="3" t="s">
        <v>34</v>
      </c>
      <c r="E362" s="4">
        <v>1350</v>
      </c>
      <c r="F362" s="3" t="s">
        <v>27</v>
      </c>
      <c r="G362" s="4">
        <v>540</v>
      </c>
      <c r="H362" s="5">
        <v>44390</v>
      </c>
      <c r="I362" s="5" t="s">
        <v>57</v>
      </c>
      <c r="J362" s="3" t="s">
        <v>29</v>
      </c>
      <c r="K362" s="4">
        <v>108</v>
      </c>
      <c r="L362" s="3" t="s">
        <v>21</v>
      </c>
      <c r="M362" s="2" t="s">
        <v>22</v>
      </c>
      <c r="N362" s="2" t="s">
        <v>73</v>
      </c>
      <c r="O362" s="2" t="s">
        <v>21</v>
      </c>
      <c r="P362" s="6">
        <f>T_CURSOS[[#This Row],[IMPORTE PROFESOR]]+T_CURSOS[[#This Row],[IMPORTE COMERCIAL]]</f>
        <v>648</v>
      </c>
      <c r="Q362" s="6">
        <f>T_CURSOS[[#This Row],[IMPORTE CLIENTE]]-T_CURSOS[[#This Row],[GASTO]]</f>
        <v>702</v>
      </c>
      <c r="R362" s="7">
        <f>T_CURSOS[[#This Row],[BENEFICIO]]/T_CURSOS[[#This Row],[IMPORTE CLIENTE]]</f>
        <v>0.52</v>
      </c>
    </row>
    <row r="363" spans="1:18" x14ac:dyDescent="0.2">
      <c r="A363" s="2" t="s">
        <v>415</v>
      </c>
      <c r="B363" s="3" t="s">
        <v>16</v>
      </c>
      <c r="C363" s="3">
        <v>25</v>
      </c>
      <c r="D363" s="3" t="s">
        <v>56</v>
      </c>
      <c r="E363" s="4">
        <v>625</v>
      </c>
      <c r="F363" s="3" t="s">
        <v>35</v>
      </c>
      <c r="G363" s="4">
        <v>300</v>
      </c>
      <c r="H363" s="5">
        <v>44287</v>
      </c>
      <c r="I363" s="5" t="s">
        <v>28</v>
      </c>
      <c r="J363" s="3" t="s">
        <v>36</v>
      </c>
      <c r="K363" s="4">
        <v>43.75</v>
      </c>
      <c r="L363" s="3" t="s">
        <v>21</v>
      </c>
      <c r="M363" s="2" t="s">
        <v>22</v>
      </c>
      <c r="N363" s="2" t="s">
        <v>73</v>
      </c>
      <c r="O363" s="2" t="s">
        <v>21</v>
      </c>
      <c r="P363" s="6">
        <f>T_CURSOS[[#This Row],[IMPORTE PROFESOR]]+T_CURSOS[[#This Row],[IMPORTE COMERCIAL]]</f>
        <v>343.75</v>
      </c>
      <c r="Q363" s="6">
        <f>T_CURSOS[[#This Row],[IMPORTE CLIENTE]]-T_CURSOS[[#This Row],[GASTO]]</f>
        <v>281.25</v>
      </c>
      <c r="R363" s="7">
        <f>T_CURSOS[[#This Row],[BENEFICIO]]/T_CURSOS[[#This Row],[IMPORTE CLIENTE]]</f>
        <v>0.45</v>
      </c>
    </row>
    <row r="364" spans="1:18" x14ac:dyDescent="0.2">
      <c r="A364" s="12"/>
    </row>
  </sheetData>
  <phoneticPr fontId="3" type="noConversion"/>
  <pageMargins left="0.75" right="0.75" top="1" bottom="1" header="0" footer="0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43571-6BF6-4A03-967D-15C436B3A0CA}">
  <dimension ref="A1:B4"/>
  <sheetViews>
    <sheetView workbookViewId="0">
      <selection activeCell="A6" sqref="A6"/>
    </sheetView>
  </sheetViews>
  <sheetFormatPr baseColWidth="10" defaultRowHeight="12.75" x14ac:dyDescent="0.2"/>
  <cols>
    <col min="1" max="1" width="68.85546875" bestFit="1" customWidth="1"/>
  </cols>
  <sheetData>
    <row r="1" spans="1:2" x14ac:dyDescent="0.2">
      <c r="A1" s="8" t="s">
        <v>419</v>
      </c>
      <c r="B1">
        <f>SUM(T_CURSOS[IMPORTE PROFESOR],T_CURSOS[IMPORTE COMERCIAL])</f>
        <v>131949.65000000002</v>
      </c>
    </row>
    <row r="2" spans="1:2" x14ac:dyDescent="0.2">
      <c r="A2" s="8" t="s">
        <v>420</v>
      </c>
      <c r="B2">
        <f>COUNTA(T_CURSOS[CURSO])</f>
        <v>362</v>
      </c>
    </row>
    <row r="3" spans="1:2" x14ac:dyDescent="0.2">
      <c r="A3" s="8" t="s">
        <v>421</v>
      </c>
      <c r="B3">
        <f>COUNTIF(T_CURSOS[IMPORTE PROFESOR],"&lt;500")</f>
        <v>336</v>
      </c>
    </row>
    <row r="4" spans="1:2" x14ac:dyDescent="0.2">
      <c r="A4" s="8" t="s">
        <v>422</v>
      </c>
      <c r="B4">
        <f>SUM(T_CURSOS[DURACION])</f>
        <v>8659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CURSOS</vt:lpstr>
      <vt:lpstr>CALCULOS TABLA</vt:lpstr>
    </vt:vector>
  </TitlesOfParts>
  <Manager/>
  <Company>HP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CM</dc:creator>
  <cp:keywords/>
  <dc:description/>
  <cp:lastModifiedBy>Allan Hall Solorio Martinez</cp:lastModifiedBy>
  <cp:revision/>
  <dcterms:created xsi:type="dcterms:W3CDTF">2021-11-02T17:30:04Z</dcterms:created>
  <dcterms:modified xsi:type="dcterms:W3CDTF">2025-07-31T18:52:12Z</dcterms:modified>
  <cp:category/>
  <cp:contentStatus/>
</cp:coreProperties>
</file>